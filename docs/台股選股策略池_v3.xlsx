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說明" sheetId="1" state="visible" r:id="rId3"/>
    <sheet name="策略池總表" sheetId="2" state="visible" r:id="rId4"/>
    <sheet name="分類速查" sheetId="3" state="visible" r:id="rId5"/>
    <sheet name="市況對應表" sheetId="4" state="visible" r:id="rId6"/>
    <sheet name="組合策略矩陣" sheetId="5" state="visible" r:id="rId7"/>
    <sheet name="開發優先度排序" sheetId="6" state="visible" r:id="rId8"/>
    <sheet name="資料來源對應" sheetId="7" state="visible" r:id="rId9"/>
    <sheet name="免費資料源清單" sheetId="8" state="visible" r:id="rId10"/>
    <sheet name="策略追蹤表" sheetId="9" state="visible" r:id="rId11"/>
    <sheet name="參數設定表" sheetId="10" state="visible" r:id="rId12"/>
  </sheets>
  <definedNames>
    <definedName function="false" hidden="true" localSheetId="1" name="_xlnm._FilterDatabase" vbProcedure="false">策略池總表!$A$1:$L$47</definedName>
    <definedName function="false" hidden="true" localSheetId="6" name="_xlnm._FilterDatabase" vbProcedure="false">資料來源對應!$A$4:$H$50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<sst xmlns="http://schemas.openxmlformats.org/spreadsheetml/2006/main" count="1994" uniqueCount="663">
  <si>
    <t xml:space="preserve">台股選股策略池</t>
  </si>
  <si>
    <r>
      <rPr>
        <i val="true"/>
        <sz val="12"/>
        <color rgb="FF595959"/>
        <rFont val="Microsoft JhengHei"/>
        <family val="0"/>
        <charset val="1"/>
      </rPr>
      <t xml:space="preserve">Stock Strategy Pool — </t>
    </r>
    <r>
      <rPr>
        <i val="true"/>
        <sz val="12"/>
        <color rgb="FF595959"/>
        <rFont val="Noto Sans CJK SC"/>
        <family val="2"/>
      </rPr>
      <t xml:space="preserve">技術面 </t>
    </r>
    <r>
      <rPr>
        <i val="true"/>
        <sz val="12"/>
        <color rgb="FF595959"/>
        <rFont val="Microsoft JhengHei"/>
        <family val="0"/>
        <charset val="1"/>
      </rPr>
      <t xml:space="preserve">× </t>
    </r>
    <r>
      <rPr>
        <i val="true"/>
        <sz val="12"/>
        <color rgb="FF595959"/>
        <rFont val="Noto Sans CJK SC"/>
        <family val="2"/>
      </rPr>
      <t xml:space="preserve">籌碼面 </t>
    </r>
    <r>
      <rPr>
        <i val="true"/>
        <sz val="12"/>
        <color rgb="FF595959"/>
        <rFont val="Microsoft JhengHei"/>
        <family val="0"/>
        <charset val="1"/>
      </rPr>
      <t xml:space="preserve">× </t>
    </r>
    <r>
      <rPr>
        <i val="true"/>
        <sz val="12"/>
        <color rgb="FF595959"/>
        <rFont val="Noto Sans CJK SC"/>
        <family val="2"/>
      </rPr>
      <t xml:space="preserve">型態 </t>
    </r>
    <r>
      <rPr>
        <i val="true"/>
        <sz val="12"/>
        <color rgb="FF595959"/>
        <rFont val="Microsoft JhengHei"/>
        <family val="0"/>
        <charset val="1"/>
      </rPr>
      <t xml:space="preserve">× </t>
    </r>
    <r>
      <rPr>
        <i val="true"/>
        <sz val="12"/>
        <color rgb="FF595959"/>
        <rFont val="Noto Sans CJK SC"/>
        <family val="2"/>
      </rPr>
      <t xml:space="preserve">基本面 </t>
    </r>
    <r>
      <rPr>
        <i val="true"/>
        <sz val="12"/>
        <color rgb="FF595959"/>
        <rFont val="Microsoft JhengHei"/>
        <family val="0"/>
        <charset val="1"/>
      </rPr>
      <t xml:space="preserve">× </t>
    </r>
    <r>
      <rPr>
        <i val="true"/>
        <sz val="12"/>
        <color rgb="FF595959"/>
        <rFont val="Noto Sans CJK SC"/>
        <family val="2"/>
      </rPr>
      <t xml:space="preserve">消息面</t>
    </r>
  </si>
  <si>
    <t xml:space="preserve">📋 工作表結構說明</t>
  </si>
  <si>
    <t xml:space="preserve">工作表</t>
  </si>
  <si>
    <t xml:space="preserve">用途</t>
  </si>
  <si>
    <t xml:space="preserve">建議用法</t>
  </si>
  <si>
    <t xml:space="preserve">策略池總表</t>
  </si>
  <si>
    <r>
      <rPr>
        <sz val="10"/>
        <rFont val="Microsoft JhengHei"/>
        <family val="0"/>
        <charset val="1"/>
      </rPr>
      <t xml:space="preserve">46 </t>
    </r>
    <r>
      <rPr>
        <sz val="10"/>
        <rFont val="Noto Sans CJK SC"/>
        <family val="2"/>
      </rPr>
      <t xml:space="preserve">個策略的完整列表，含分類、條件、邏輯、適用市況</t>
    </r>
  </si>
  <si>
    <t xml:space="preserve">主要查閱、篩選、編輯入口</t>
  </si>
  <si>
    <t xml:space="preserve">分類速查</t>
  </si>
  <si>
    <t xml:space="preserve">依面向分類的策略目錄，快速定位</t>
  </si>
  <si>
    <t xml:space="preserve">想找特定類型策略時查閱</t>
  </si>
  <si>
    <t xml:space="preserve">市況對應表</t>
  </si>
  <si>
    <t xml:space="preserve">依市況（多頭/空頭/盤整）篩選適用策略</t>
  </si>
  <si>
    <t xml:space="preserve">判斷當前市況後挑選對應策略</t>
  </si>
  <si>
    <t xml:space="preserve">組合策略矩陣</t>
  </si>
  <si>
    <t xml:space="preserve">不同策略之間的可組合性與互斥關係</t>
  </si>
  <si>
    <t xml:space="preserve">設計多訊號共振策略時參考</t>
  </si>
  <si>
    <t xml:space="preserve">策略追蹤表</t>
  </si>
  <si>
    <t xml:space="preserve">個人化使用紀錄：採用、回測、實戰績效</t>
  </si>
  <si>
    <t xml:space="preserve">持續疊代您自己的策略系統</t>
  </si>
  <si>
    <t xml:space="preserve">開發優先度排序</t>
  </si>
  <si>
    <r>
      <rPr>
        <sz val="10"/>
        <rFont val="Microsoft JhengHei"/>
        <family val="0"/>
        <charset val="1"/>
      </rPr>
      <t xml:space="preserve">46 </t>
    </r>
    <r>
      <rPr>
        <sz val="10"/>
        <rFont val="Noto Sans CJK SC"/>
        <family val="2"/>
      </rPr>
      <t xml:space="preserve">策略依 </t>
    </r>
    <r>
      <rPr>
        <sz val="10"/>
        <rFont val="Microsoft JhengHei"/>
        <family val="0"/>
        <charset val="1"/>
      </rPr>
      <t xml:space="preserve">P0/P1/P2/P3 </t>
    </r>
    <r>
      <rPr>
        <sz val="10"/>
        <rFont val="Noto Sans CJK SC"/>
        <family val="2"/>
      </rPr>
      <t xml:space="preserve">分組排序（新增於 </t>
    </r>
    <r>
      <rPr>
        <sz val="10"/>
        <rFont val="Microsoft JhengHei"/>
        <family val="0"/>
        <charset val="1"/>
      </rPr>
      <t xml:space="preserve">B2 </t>
    </r>
    <r>
      <rPr>
        <sz val="10"/>
        <rFont val="Noto Sans CJK SC"/>
        <family val="2"/>
      </rPr>
      <t xml:space="preserve">補強）</t>
    </r>
  </si>
  <si>
    <t xml:space="preserve">規劃系統開發階段時使用</t>
  </si>
  <si>
    <t xml:space="preserve">資料來源對應</t>
  </si>
  <si>
    <r>
      <rPr>
        <sz val="10"/>
        <rFont val="Microsoft JhengHei"/>
        <family val="0"/>
        <charset val="1"/>
      </rPr>
      <t xml:space="preserve">46 </t>
    </r>
    <r>
      <rPr>
        <sz val="10"/>
        <rFont val="Noto Sans CJK SC"/>
        <family val="2"/>
      </rPr>
      <t xml:space="preserve">策略對應的免費資料源與 </t>
    </r>
    <r>
      <rPr>
        <sz val="10"/>
        <rFont val="Microsoft JhengHei"/>
        <family val="0"/>
        <charset val="1"/>
      </rPr>
      <t xml:space="preserve">API </t>
    </r>
    <r>
      <rPr>
        <sz val="10"/>
        <rFont val="Noto Sans CJK SC"/>
        <family val="2"/>
      </rPr>
      <t xml:space="preserve">端點（新增於 </t>
    </r>
    <r>
      <rPr>
        <sz val="10"/>
        <rFont val="Microsoft JhengHei"/>
        <family val="0"/>
        <charset val="1"/>
      </rPr>
      <t xml:space="preserve">B1 </t>
    </r>
    <r>
      <rPr>
        <sz val="10"/>
        <rFont val="Noto Sans CJK SC"/>
        <family val="2"/>
      </rPr>
      <t xml:space="preserve">補強）</t>
    </r>
  </si>
  <si>
    <t xml:space="preserve">系統開發時的資料層規格參考</t>
  </si>
  <si>
    <t xml:space="preserve">免費資料源清單</t>
  </si>
  <si>
    <r>
      <rPr>
        <sz val="10"/>
        <rFont val="Noto Sans CJK SC"/>
        <family val="2"/>
      </rPr>
      <t xml:space="preserve">集中列出 </t>
    </r>
    <r>
      <rPr>
        <sz val="10"/>
        <rFont val="Microsoft JhengHei"/>
        <family val="0"/>
        <charset val="1"/>
      </rPr>
      <t xml:space="preserve">TWSE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TPEx</t>
    </r>
    <r>
      <rPr>
        <sz val="10"/>
        <rFont val="Noto Sans CJK SC"/>
        <family val="2"/>
      </rPr>
      <t xml:space="preserve">、期交所、</t>
    </r>
    <r>
      <rPr>
        <sz val="10"/>
        <rFont val="Microsoft JhengHei"/>
        <family val="0"/>
        <charset val="1"/>
      </rPr>
      <t xml:space="preserve">MOPS </t>
    </r>
    <r>
      <rPr>
        <sz val="10"/>
        <rFont val="Noto Sans CJK SC"/>
        <family val="2"/>
      </rPr>
      <t xml:space="preserve">等免費 </t>
    </r>
    <r>
      <rPr>
        <sz val="10"/>
        <rFont val="Microsoft JhengHei"/>
        <family val="0"/>
        <charset val="1"/>
      </rPr>
      <t xml:space="preserve">API </t>
    </r>
    <r>
      <rPr>
        <sz val="10"/>
        <rFont val="Noto Sans CJK SC"/>
        <family val="2"/>
      </rPr>
      <t xml:space="preserve">端點（新增於 </t>
    </r>
    <r>
      <rPr>
        <sz val="10"/>
        <rFont val="Microsoft JhengHei"/>
        <family val="0"/>
        <charset val="1"/>
      </rPr>
      <t xml:space="preserve">B1 </t>
    </r>
    <r>
      <rPr>
        <sz val="10"/>
        <rFont val="Noto Sans CJK SC"/>
        <family val="2"/>
      </rPr>
      <t xml:space="preserve">補強）</t>
    </r>
  </si>
  <si>
    <t xml:space="preserve">開發爬蟲時的一站式索引</t>
  </si>
  <si>
    <t xml:space="preserve">🎨 顏色標記規則</t>
  </si>
  <si>
    <t xml:space="preserve">顏色</t>
  </si>
  <si>
    <t xml:space="preserve">意義</t>
  </si>
  <si>
    <t xml:space="preserve">綠色</t>
  </si>
  <si>
    <t xml:space="preserve">適用市況：多頭 ／ 風險等級：低</t>
  </si>
  <si>
    <t xml:space="preserve">黃色</t>
  </si>
  <si>
    <t xml:space="preserve">適用市況：盤整 ／ 風險等級：中</t>
  </si>
  <si>
    <t xml:space="preserve">橘色</t>
  </si>
  <si>
    <t xml:space="preserve">風險等級：中高</t>
  </si>
  <si>
    <t xml:space="preserve">紅色</t>
  </si>
  <si>
    <t xml:space="preserve">適用市況：空頭 ／ 風險等級：高</t>
  </si>
  <si>
    <t xml:space="preserve">藍色</t>
  </si>
  <si>
    <t xml:space="preserve">適用市況：全市況皆可</t>
  </si>
  <si>
    <t xml:space="preserve">💡 使用建議</t>
  </si>
  <si>
    <r>
      <rPr>
        <sz val="10"/>
        <rFont val="Microsoft JhengHei"/>
        <family val="0"/>
        <charset val="1"/>
      </rPr>
      <t xml:space="preserve">1. </t>
    </r>
    <r>
      <rPr>
        <sz val="10"/>
        <rFont val="Noto Sans CJK SC"/>
        <family val="2"/>
      </rPr>
      <t xml:space="preserve">先閱讀「策略池總表」全覽 </t>
    </r>
    <r>
      <rPr>
        <sz val="10"/>
        <rFont val="Microsoft JhengHei"/>
        <family val="0"/>
        <charset val="1"/>
      </rPr>
      <t xml:space="preserve">46 </t>
    </r>
    <r>
      <rPr>
        <sz val="10"/>
        <rFont val="Noto Sans CJK SC"/>
        <family val="2"/>
      </rPr>
      <t xml:space="preserve">個策略，圈出感興趣的 </t>
    </r>
    <r>
      <rPr>
        <sz val="10"/>
        <rFont val="Microsoft JhengHei"/>
        <family val="0"/>
        <charset val="1"/>
      </rPr>
      <t xml:space="preserve">5 ~ 8 </t>
    </r>
    <r>
      <rPr>
        <sz val="10"/>
        <rFont val="Noto Sans CJK SC"/>
        <family val="2"/>
      </rPr>
      <t xml:space="preserve">個</t>
    </r>
  </si>
  <si>
    <r>
      <rPr>
        <sz val="10"/>
        <rFont val="Microsoft JhengHei"/>
        <family val="0"/>
        <charset val="1"/>
      </rPr>
      <t xml:space="preserve">2. </t>
    </r>
    <r>
      <rPr>
        <sz val="10"/>
        <rFont val="Noto Sans CJK SC"/>
        <family val="2"/>
      </rPr>
      <t xml:space="preserve">透過「分類速查」與「市況對應表」找到當前市況可用策略</t>
    </r>
  </si>
  <si>
    <r>
      <rPr>
        <sz val="10"/>
        <rFont val="Microsoft JhengHei"/>
        <family val="0"/>
        <charset val="1"/>
      </rPr>
      <t xml:space="preserve">3. </t>
    </r>
    <r>
      <rPr>
        <sz val="10"/>
        <rFont val="Noto Sans CJK SC"/>
        <family val="2"/>
      </rPr>
      <t xml:space="preserve">在「策略追蹤表」記錄您採用的策略、回測結果、實戰績效</t>
    </r>
  </si>
  <si>
    <r>
      <rPr>
        <sz val="10"/>
        <rFont val="Microsoft JhengHei"/>
        <family val="0"/>
        <charset val="1"/>
      </rPr>
      <t xml:space="preserve">4. </t>
    </r>
    <r>
      <rPr>
        <sz val="10"/>
        <rFont val="Noto Sans CJK SC"/>
        <family val="2"/>
      </rPr>
      <t xml:space="preserve">透過「組合策略矩陣」設計多訊號共振策略（建議 </t>
    </r>
    <r>
      <rPr>
        <sz val="10"/>
        <rFont val="Microsoft JhengHei"/>
        <family val="0"/>
        <charset val="1"/>
      </rPr>
      <t xml:space="preserve">2 ~ 3 </t>
    </r>
    <r>
      <rPr>
        <sz val="10"/>
        <rFont val="Noto Sans CJK SC"/>
        <family val="2"/>
      </rPr>
      <t xml:space="preserve">個訊號）</t>
    </r>
  </si>
  <si>
    <r>
      <rPr>
        <sz val="10"/>
        <rFont val="Microsoft JhengHei"/>
        <family val="0"/>
        <charset val="1"/>
      </rPr>
      <t xml:space="preserve">5. </t>
    </r>
    <r>
      <rPr>
        <sz val="10"/>
        <rFont val="Noto Sans CJK SC"/>
        <family val="2"/>
      </rPr>
      <t xml:space="preserve">持續調整「參數設定表」的閾值，找出符合您交易風格的版本</t>
    </r>
  </si>
  <si>
    <r>
      <rPr>
        <sz val="10"/>
        <rFont val="Microsoft JhengHei"/>
        <family val="0"/>
        <charset val="1"/>
      </rPr>
      <t xml:space="preserve">6. </t>
    </r>
    <r>
      <rPr>
        <sz val="10"/>
        <rFont val="Noto Sans CJK SC"/>
        <family val="2"/>
      </rPr>
      <t xml:space="preserve">建議每月檢視一次績效，淘汰勝率 </t>
    </r>
    <r>
      <rPr>
        <sz val="10"/>
        <rFont val="Microsoft JhengHei"/>
        <family val="0"/>
        <charset val="1"/>
      </rPr>
      <t xml:space="preserve">&lt; 40% </t>
    </r>
    <r>
      <rPr>
        <sz val="10"/>
        <rFont val="Noto Sans CJK SC"/>
        <family val="2"/>
      </rPr>
      <t xml:space="preserve">或期望值為負的策略</t>
    </r>
  </si>
  <si>
    <t xml:space="preserve">⚠️ 本策略池僅供研究與學習用途，不構成任何投資建議。實際投資請自行判斷風險。</t>
  </si>
  <si>
    <t xml:space="preserve">編號</t>
  </si>
  <si>
    <t xml:space="preserve">分類</t>
  </si>
  <si>
    <t xml:space="preserve">策略名稱</t>
  </si>
  <si>
    <t xml:space="preserve">選股條件</t>
  </si>
  <si>
    <t xml:space="preserve">邏輯依據</t>
  </si>
  <si>
    <t xml:space="preserve">適用市況</t>
  </si>
  <si>
    <t xml:space="preserve">持有週期</t>
  </si>
  <si>
    <t xml:space="preserve">風險等級</t>
  </si>
  <si>
    <t xml:space="preserve">量化可行性</t>
  </si>
  <si>
    <t xml:space="preserve">資料取得難度</t>
  </si>
  <si>
    <t xml:space="preserve">開發優先度</t>
  </si>
  <si>
    <t xml:space="preserve">評分說明</t>
  </si>
  <si>
    <t xml:space="preserve">技術面</t>
  </si>
  <si>
    <t xml:space="preserve">均線多頭排列強勢股</t>
  </si>
  <si>
    <r>
      <rPr>
        <sz val="10"/>
        <rFont val="Microsoft JhengHei"/>
        <family val="0"/>
        <charset val="1"/>
      </rPr>
      <t xml:space="preserve">MA5 &gt; MA10 &gt; MA20 &gt; MA60</t>
    </r>
    <r>
      <rPr>
        <sz val="10"/>
        <rFont val="Noto Sans CJK SC"/>
        <family val="2"/>
      </rPr>
      <t xml:space="preserve">，且四條均線同步向上</t>
    </r>
  </si>
  <si>
    <t xml:space="preserve">所有時間週期持有者皆獲利，無套牢賣壓</t>
  </si>
  <si>
    <t xml:space="preserve">多頭</t>
  </si>
  <si>
    <t xml:space="preserve">波段(1-3月)</t>
  </si>
  <si>
    <t xml:space="preserve">中</t>
  </si>
  <si>
    <t xml:space="preserve">高</t>
  </si>
  <si>
    <t xml:space="preserve">易</t>
  </si>
  <si>
    <t xml:space="preserve">P0</t>
  </si>
  <si>
    <t xml:space="preserve">純均線計算，資料取得容易，開發最簡單</t>
  </si>
  <si>
    <t xml:space="preserve">季線翻揚轉強股</t>
  </si>
  <si>
    <t xml:space="preserve">股價站上 MA60、MA60 由下彎轉上揚、MA20 上穿 MA60</t>
  </si>
  <si>
    <t xml:space="preserve">中期趨勢由空翻多，常為波段起漲點</t>
  </si>
  <si>
    <t xml:space="preserve">均線 + 位置關係判斷，程式化簡單</t>
  </si>
  <si>
    <t xml:space="preserve">黃金交叉低檔買進</t>
  </si>
  <si>
    <r>
      <rPr>
        <sz val="10"/>
        <rFont val="Microsoft JhengHei"/>
        <family val="0"/>
        <charset val="1"/>
      </rPr>
      <t xml:space="preserve">KD &lt; 20 </t>
    </r>
    <r>
      <rPr>
        <sz val="10"/>
        <rFont val="Noto Sans CJK SC"/>
        <family val="2"/>
      </rPr>
      <t xml:space="preserve">黃金交叉，當日 </t>
    </r>
    <r>
      <rPr>
        <sz val="10"/>
        <rFont val="Microsoft JhengHei"/>
        <family val="0"/>
        <charset val="1"/>
      </rPr>
      <t xml:space="preserve">K </t>
    </r>
    <r>
      <rPr>
        <sz val="10"/>
        <rFont val="Noto Sans CJK SC"/>
        <family val="2"/>
      </rPr>
      <t xml:space="preserve">棒收紅</t>
    </r>
  </si>
  <si>
    <t xml:space="preserve">超賣後動能轉強，短線反彈機率高</t>
  </si>
  <si>
    <t xml:space="preserve">全市況</t>
  </si>
  <si>
    <t xml:space="preserve">短線(1-2週)</t>
  </si>
  <si>
    <r>
      <rPr>
        <sz val="10"/>
        <rFont val="Microsoft JhengHei"/>
        <family val="0"/>
        <charset val="1"/>
      </rPr>
      <t xml:space="preserve">KD </t>
    </r>
    <r>
      <rPr>
        <sz val="10"/>
        <rFont val="Noto Sans CJK SC"/>
        <family val="2"/>
      </rPr>
      <t xml:space="preserve">指標為標準公式，訊號明確</t>
    </r>
  </si>
  <si>
    <r>
      <rPr>
        <sz val="10"/>
        <rFont val="Microsoft JhengHei"/>
        <family val="0"/>
        <charset val="1"/>
      </rPr>
      <t xml:space="preserve">MACD </t>
    </r>
    <r>
      <rPr>
        <sz val="10"/>
        <rFont val="Noto Sans CJK SC"/>
        <family val="2"/>
      </rPr>
      <t xml:space="preserve">零軸上方紅柱擴張</t>
    </r>
  </si>
  <si>
    <r>
      <rPr>
        <sz val="10"/>
        <rFont val="Microsoft JhengHei"/>
        <family val="0"/>
        <charset val="1"/>
      </rPr>
      <t xml:space="preserve">DIF &gt; 0 </t>
    </r>
    <r>
      <rPr>
        <sz val="10"/>
        <rFont val="Noto Sans CJK SC"/>
        <family val="2"/>
      </rPr>
      <t xml:space="preserve">且 </t>
    </r>
    <r>
      <rPr>
        <sz val="10"/>
        <rFont val="Microsoft JhengHei"/>
        <family val="0"/>
        <charset val="1"/>
      </rPr>
      <t xml:space="preserve">MACD &gt; 0</t>
    </r>
    <r>
      <rPr>
        <sz val="10"/>
        <rFont val="Noto Sans CJK SC"/>
        <family val="2"/>
      </rPr>
      <t xml:space="preserve">，柱狀體連續 </t>
    </r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</rPr>
      <t xml:space="preserve">日擴大</t>
    </r>
  </si>
  <si>
    <t xml:space="preserve">多頭趨勢中動能加速，續攻機率高</t>
  </si>
  <si>
    <t xml:space="preserve">短中線(2-4週)</t>
  </si>
  <si>
    <r>
      <rPr>
        <sz val="10"/>
        <rFont val="Microsoft JhengHei"/>
        <family val="0"/>
        <charset val="1"/>
      </rPr>
      <t xml:space="preserve">MACD </t>
    </r>
    <r>
      <rPr>
        <sz val="10"/>
        <rFont val="Noto Sans CJK SC"/>
        <family val="2"/>
      </rPr>
      <t xml:space="preserve">為標準公式，動能判斷程式化容易</t>
    </r>
  </si>
  <si>
    <t xml:space="preserve">布林通道收斂後突破</t>
  </si>
  <si>
    <t xml:space="preserve">布林帶寬創 20 日新低後，價格向上突破上軌</t>
  </si>
  <si>
    <t xml:space="preserve">低波動醞釀後的方向選擇，趨勢起漲</t>
  </si>
  <si>
    <t xml:space="preserve">盤整</t>
  </si>
  <si>
    <t xml:space="preserve">P1</t>
  </si>
  <si>
    <t xml:space="preserve">布林通道為標準公式，需計算帶寬變化</t>
  </si>
  <si>
    <t xml:space="preserve">高檔橫盤後突破</t>
  </si>
  <si>
    <t xml:space="preserve">高點附近震盪 ≥ 10 日、振幅 &lt; 5%、突破整理區</t>
  </si>
  <si>
    <t xml:space="preserve">籌碼換手完成，主力鎖籌續攻</t>
  </si>
  <si>
    <t xml:space="preserve">「橫盤」需自訂閾值，有調參空間</t>
  </si>
  <si>
    <t xml:space="preserve">跳空缺口未回補</t>
  </si>
  <si>
    <t xml:space="preserve">向上跳空 &gt; 3%，後續 5 日內未回補缺口</t>
  </si>
  <si>
    <t xml:space="preserve">強勢缺口為趨勢加速訊號</t>
  </si>
  <si>
    <t xml:space="preserve">中高</t>
  </si>
  <si>
    <t xml:space="preserve">跳空判斷公式明確：今日開盤 &gt; 昨日最高</t>
  </si>
  <si>
    <t xml:space="preserve">三線匯聚發散</t>
  </si>
  <si>
    <r>
      <rPr>
        <sz val="10"/>
        <rFont val="Microsoft JhengHei"/>
        <family val="0"/>
        <charset val="1"/>
      </rPr>
      <t xml:space="preserve">MA5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MA10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MA20 </t>
    </r>
    <r>
      <rPr>
        <sz val="10"/>
        <rFont val="Noto Sans CJK SC"/>
        <family val="2"/>
      </rPr>
      <t xml:space="preserve">收斂於 </t>
    </r>
    <r>
      <rPr>
        <sz val="10"/>
        <rFont val="Microsoft JhengHei"/>
        <family val="0"/>
        <charset val="1"/>
      </rPr>
      <t xml:space="preserve">1.5% </t>
    </r>
    <r>
      <rPr>
        <sz val="10"/>
        <rFont val="Noto Sans CJK SC"/>
        <family val="2"/>
      </rPr>
      <t xml:space="preserve">區間後分散</t>
    </r>
  </si>
  <si>
    <t xml:space="preserve">均線糾結後的方向選擇</t>
  </si>
  <si>
    <t xml:space="preserve">「三線匯聚」需定義收斂區間，有調參空間</t>
  </si>
  <si>
    <t xml:space="preserve">量價</t>
  </si>
  <si>
    <t xml:space="preserve">量增價漲突破前高</t>
  </si>
  <si>
    <t xml:space="preserve">突破近 60 日新高，當日量 &gt; 5 日均量 × 1.5</t>
  </si>
  <si>
    <t xml:space="preserve">放量突破為最經典的多頭啟動訊號</t>
  </si>
  <si>
    <t xml:space="preserve">突破前高 + 量能倍數，兩個明確條件</t>
  </si>
  <si>
    <t xml:space="preserve">久盤量縮後爆量長紅</t>
  </si>
  <si>
    <t xml:space="preserve">近 20 日量縮、單日量爆 &gt; 5 日均量 × 3 且收紅 K</t>
  </si>
  <si>
    <t xml:space="preserve">主力進場吸貨拉抬</t>
  </si>
  <si>
    <t xml:space="preserve">量能倍數判斷明確，需搭配 K 棒型態</t>
  </si>
  <si>
    <t xml:space="preserve">價跌量縮見底</t>
  </si>
  <si>
    <t xml:space="preserve">連續下跌 5 日以上、量能逐日萎縮至均量 50% 以下</t>
  </si>
  <si>
    <t xml:space="preserve">賣壓衰竭，止跌訊號</t>
  </si>
  <si>
    <t xml:space="preserve">空頭轉折</t>
  </si>
  <si>
    <t xml:space="preserve">連續下跌 + 量能萎縮，公式清楚</t>
  </si>
  <si>
    <t xml:space="preserve">連續均量遞增</t>
  </si>
  <si>
    <r>
      <rPr>
        <sz val="10"/>
        <rFont val="Microsoft JhengHei"/>
        <family val="0"/>
        <charset val="1"/>
      </rPr>
      <t xml:space="preserve">5 </t>
    </r>
    <r>
      <rPr>
        <sz val="10"/>
        <rFont val="Noto Sans CJK SC"/>
        <family val="2"/>
      </rPr>
      <t xml:space="preserve">日均量 </t>
    </r>
    <r>
      <rPr>
        <sz val="10"/>
        <rFont val="Microsoft JhengHei"/>
        <family val="0"/>
        <charset val="1"/>
      </rPr>
      <t xml:space="preserve">&gt; 20 </t>
    </r>
    <r>
      <rPr>
        <sz val="10"/>
        <rFont val="Noto Sans CJK SC"/>
        <family val="2"/>
      </rPr>
      <t xml:space="preserve">日均量 </t>
    </r>
    <r>
      <rPr>
        <sz val="10"/>
        <rFont val="Microsoft JhengHei"/>
        <family val="0"/>
        <charset val="1"/>
      </rPr>
      <t xml:space="preserve">&gt; 60 </t>
    </r>
    <r>
      <rPr>
        <sz val="10"/>
        <rFont val="Noto Sans CJK SC"/>
        <family val="2"/>
      </rPr>
      <t xml:space="preserve">日均量、呈遞增</t>
    </r>
  </si>
  <si>
    <t xml:space="preserve">成交活絡度提升，市場關注度升溫</t>
  </si>
  <si>
    <t xml:space="preserve">均量遞增為單純數值比較</t>
  </si>
  <si>
    <t xml:space="preserve">籌碼面</t>
  </si>
  <si>
    <t xml:space="preserve">外資連續買超</t>
  </si>
  <si>
    <t xml:space="preserve">外資連續 5 日以上買超、累積買超 &gt; 流通股數 1%</t>
  </si>
  <si>
    <t xml:space="preserve">外資中長線持續加碼，常為波段起點</t>
  </si>
  <si>
    <r>
      <rPr>
        <sz val="10"/>
        <rFont val="Microsoft JhengHei"/>
        <family val="0"/>
        <charset val="1"/>
      </rPr>
      <t xml:space="preserve">TWSE T86 </t>
    </r>
    <r>
      <rPr>
        <sz val="10"/>
        <rFont val="Noto Sans CJK SC"/>
        <family val="2"/>
      </rPr>
      <t xml:space="preserve">每日公告，累積計算容易</t>
    </r>
  </si>
  <si>
    <t xml:space="preserve">三大法人同步買超</t>
  </si>
  <si>
    <t xml:space="preserve">三大法人當日同步買超、連續 ≥ 3 日</t>
  </si>
  <si>
    <t xml:space="preserve">法人共識，買盤強勁</t>
  </si>
  <si>
    <t xml:space="preserve">三大法人同步買超，資料直接取得</t>
  </si>
  <si>
    <t xml:space="preserve">投信認養股</t>
  </si>
  <si>
    <t xml:space="preserve">投信連續買超 ≥ 5 日、單日買超佔成交量 &gt; 10%</t>
  </si>
  <si>
    <t xml:space="preserve">投信季底作帳常見手法，跟單勝率高</t>
  </si>
  <si>
    <t xml:space="preserve">投信買超 + 佔比計算，資料齊全</t>
  </si>
  <si>
    <t xml:space="preserve">外資由空翻多</t>
  </si>
  <si>
    <t xml:space="preserve">外資由連續賣超轉為連續買超 3 日以上</t>
  </si>
  <si>
    <t xml:space="preserve">法人態度轉變的轉折點</t>
  </si>
  <si>
    <t xml:space="preserve">外資轉向判斷，資料好取</t>
  </si>
  <si>
    <t xml:space="preserve">散戶逃出大戶進駐</t>
  </si>
  <si>
    <t xml:space="preserve">千張大戶持股連續 4 週上升、散戶人數連續 4 週下降</t>
  </si>
  <si>
    <t xml:space="preserve">籌碼集中於主力，後續易拉抬</t>
  </si>
  <si>
    <t xml:space="preserve">中長線(3-6月)</t>
  </si>
  <si>
    <t xml:space="preserve">P2</t>
  </si>
  <si>
    <t xml:space="preserve">大戶持股需從公開觀測站抓，每週更新，非每日</t>
  </si>
  <si>
    <t xml:space="preserve">主力買賣家數差為負且擴大</t>
  </si>
  <si>
    <t xml:space="preserve">買賣家數差連續為負、差距擴大</t>
  </si>
  <si>
    <t xml:space="preserve">主力默默吸貨的典型訊號</t>
  </si>
  <si>
    <t xml:space="preserve">難</t>
  </si>
  <si>
    <t xml:space="preserve">買賣家數差需分點資料，免費源不穩定</t>
  </si>
  <si>
    <t xml:space="preserve">主力分點集中買超</t>
  </si>
  <si>
    <t xml:space="preserve">前 15 大買超分點合計 &gt; 當日買超總量 70%</t>
  </si>
  <si>
    <t xml:space="preserve">少數主力主導行情，方向性明確</t>
  </si>
  <si>
    <t xml:space="preserve">分點資料多需付費（CMoney/XQ），免費源受限</t>
  </si>
  <si>
    <t xml:space="preserve">券資比偏高軋空股</t>
  </si>
  <si>
    <t xml:space="preserve">券資比 &gt; 30%、融券連續 3 週增加、股價未跌</t>
  </si>
  <si>
    <t xml:space="preserve">高融券 + 抗跌 = 軋空潛力</t>
  </si>
  <si>
    <t xml:space="preserve">券資比計算公式明確，TWSE 每日提供</t>
  </si>
  <si>
    <t xml:space="preserve">融資減股價漲（健康洗盤）</t>
  </si>
  <si>
    <t xml:space="preserve">股價上漲超過 5%、融資餘額同期減少 &gt; 3%</t>
  </si>
  <si>
    <t xml:space="preserve">散戶融資籌碼洗清，後續上攻無壓力</t>
  </si>
  <si>
    <t xml:space="preserve">融資變化 + 股價變化，兩個資料源皆免費</t>
  </si>
  <si>
    <t xml:space="preserve">型態面</t>
  </si>
  <si>
    <r>
      <rPr>
        <sz val="10"/>
        <rFont val="Microsoft JhengHei"/>
        <family val="0"/>
        <charset val="1"/>
      </rPr>
      <t xml:space="preserve">W </t>
    </r>
    <r>
      <rPr>
        <sz val="10"/>
        <rFont val="Noto Sans CJK SC"/>
        <family val="2"/>
      </rPr>
      <t xml:space="preserve">底突破頸線</t>
    </r>
  </si>
  <si>
    <t xml:space="preserve">形成雙底、突破頸線且量增</t>
  </si>
  <si>
    <t xml:space="preserve">底部反轉確認</t>
  </si>
  <si>
    <r>
      <rPr>
        <sz val="10"/>
        <rFont val="Microsoft JhengHei"/>
        <family val="0"/>
        <charset val="1"/>
      </rPr>
      <t xml:space="preserve">W </t>
    </r>
    <r>
      <rPr>
        <sz val="10"/>
        <rFont val="Noto Sans CJK SC"/>
        <family val="2"/>
      </rPr>
      <t xml:space="preserve">底型態辨識較主觀，需圖形識別演算法</t>
    </r>
  </si>
  <si>
    <t xml:space="preserve">杯柄型態突破</t>
  </si>
  <si>
    <r>
      <rPr>
        <sz val="10"/>
        <rFont val="Microsoft JhengHei"/>
        <family val="0"/>
        <charset val="1"/>
      </rPr>
      <t xml:space="preserve">U </t>
    </r>
    <r>
      <rPr>
        <sz val="10"/>
        <rFont val="Noto Sans CJK SC"/>
        <family val="2"/>
      </rPr>
      <t xml:space="preserve">型底後小幅回檔形成柄、突破杯口</t>
    </r>
  </si>
  <si>
    <t xml:space="preserve">歐尼爾經典型態，飆股搖籃</t>
  </si>
  <si>
    <t xml:space="preserve">低</t>
  </si>
  <si>
    <t xml:space="preserve">P3</t>
  </si>
  <si>
    <t xml:space="preserve">杯柄型態需視覺辨識，程式化易誤判</t>
  </si>
  <si>
    <t xml:space="preserve">旗型整理突破</t>
  </si>
  <si>
    <t xml:space="preserve">急漲 + 平行四邊形整理 + 突破旗面上緣</t>
  </si>
  <si>
    <t xml:space="preserve">強勢中繼，等距離測幅可預估目標價</t>
  </si>
  <si>
    <t xml:space="preserve">旗型辨識主觀性高，過度擬合風險大</t>
  </si>
  <si>
    <t xml:space="preserve">三角收斂向上突破</t>
  </si>
  <si>
    <t xml:space="preserve">高低點收斂於三角形、突破上沿、量能放大</t>
  </si>
  <si>
    <t xml:space="preserve">盤整後選邊，順勢操作</t>
  </si>
  <si>
    <t xml:space="preserve">三角收斂需自訂趨勢線，有調參空間</t>
  </si>
  <si>
    <t xml:space="preserve">箱型整理突破</t>
  </si>
  <si>
    <t xml:space="preserve">盤整於矩形區間 ≥ 20 日、突破上沿</t>
  </si>
  <si>
    <t xml:space="preserve">箱型測幅，目標 = 突破點 + 箱型高度</t>
  </si>
  <si>
    <t xml:space="preserve">箱型辨識較容易，但需定義區間</t>
  </si>
  <si>
    <t xml:space="preserve">基本面</t>
  </si>
  <si>
    <r>
      <rPr>
        <sz val="10"/>
        <rFont val="Microsoft JhengHei"/>
        <family val="0"/>
        <charset val="1"/>
      </rPr>
      <t xml:space="preserve">EPS </t>
    </r>
    <r>
      <rPr>
        <sz val="10"/>
        <rFont val="Noto Sans CJK SC"/>
        <family val="2"/>
      </rPr>
      <t xml:space="preserve">連續成長股</t>
    </r>
  </si>
  <si>
    <t xml:space="preserve">近 4 季 EPS 季增率 &gt; 0、年增率 &gt; 20%</t>
  </si>
  <si>
    <t xml:space="preserve">基本面持續向上，技術面拉回為買點</t>
  </si>
  <si>
    <r>
      <rPr>
        <sz val="10"/>
        <rFont val="Microsoft JhengHei"/>
        <family val="0"/>
        <charset val="1"/>
      </rPr>
      <t xml:space="preserve">EPS </t>
    </r>
    <r>
      <rPr>
        <sz val="10"/>
        <rFont val="Noto Sans CJK SC"/>
        <family val="2"/>
      </rPr>
      <t xml:space="preserve">季報資料，公開觀測站免費取得</t>
    </r>
  </si>
  <si>
    <t xml:space="preserve">營收創新高股</t>
  </si>
  <si>
    <t xml:space="preserve">單月營收創 12 個月新高、累計營收年增率 &gt; 15%</t>
  </si>
  <si>
    <t xml:space="preserve">營收動能強勁</t>
  </si>
  <si>
    <t xml:space="preserve">月營收公告每月 10 日前，資料齊全</t>
  </si>
  <si>
    <t xml:space="preserve">高 ROE 成長股</t>
  </si>
  <si>
    <t xml:space="preserve">近 3 年 ROE &gt; 15%、且呈遞增</t>
  </si>
  <si>
    <t xml:space="preserve">巴菲特最重視的指標</t>
  </si>
  <si>
    <t xml:space="preserve">長線(6月+)</t>
  </si>
  <si>
    <r>
      <rPr>
        <sz val="10"/>
        <rFont val="Microsoft JhengHei"/>
        <family val="0"/>
        <charset val="1"/>
      </rPr>
      <t xml:space="preserve">ROE </t>
    </r>
    <r>
      <rPr>
        <sz val="10"/>
        <rFont val="Noto Sans CJK SC"/>
        <family val="2"/>
      </rPr>
      <t xml:space="preserve">為財報標準指標，年報季報皆有</t>
    </r>
  </si>
  <si>
    <t xml:space="preserve">法人預估 EPS 上修</t>
  </si>
  <si>
    <t xml:space="preserve">法人對未來 EPS 預估連續上修</t>
  </si>
  <si>
    <t xml:space="preserve">基本面預期改善</t>
  </si>
  <si>
    <t xml:space="preserve">法人預估 EPS 多為付費資料源</t>
  </si>
  <si>
    <t xml:space="preserve">殖利率穩定族群</t>
  </si>
  <si>
    <t xml:space="preserve">連續 5 年配息、平均殖利率 &gt; 5%、配息率 &lt; 80%</t>
  </si>
  <si>
    <t xml:space="preserve">存股族最愛，下檔有撐</t>
  </si>
  <si>
    <t xml:space="preserve">殖利率 + 配息紀錄公開，計算簡單</t>
  </si>
  <si>
    <t xml:space="preserve">消息面</t>
  </si>
  <si>
    <t xml:space="preserve">法說會後利多股</t>
  </si>
  <si>
    <t xml:space="preserve">法說會後分析師上修目標價、隔日跳空開高</t>
  </si>
  <si>
    <t xml:space="preserve">法人共識買盤湧入</t>
  </si>
  <si>
    <t xml:space="preserve">法說會後分析師報告多為付費，難自動化</t>
  </si>
  <si>
    <t xml:space="preserve">除權息行情</t>
  </si>
  <si>
    <t xml:space="preserve">高殖利率股，除權息前一個月布局，貼權前出場</t>
  </si>
  <si>
    <t xml:space="preserve">填權息行情</t>
  </si>
  <si>
    <t xml:space="preserve">除權息日期公開，殖利率計算清楚</t>
  </si>
  <si>
    <t xml:space="preserve">公布財報後跳空</t>
  </si>
  <si>
    <t xml:space="preserve">公布優於預期財報、隔日跳空開高 &gt; 3%</t>
  </si>
  <si>
    <t xml:space="preserve">盈餘驚喜效應</t>
  </si>
  <si>
    <t xml:space="preserve">財報公告日期明確，跳空可判斷</t>
  </si>
  <si>
    <t xml:space="preserve">庫藏股公告</t>
  </si>
  <si>
    <t xml:space="preserve">公司宣告買回庫藏股、買回價格高於現價</t>
  </si>
  <si>
    <t xml:space="preserve">公司認為股價低估，下檔有撐</t>
  </si>
  <si>
    <t xml:space="preserve">庫藏股公告有公開資料源，事件明確</t>
  </si>
  <si>
    <t xml:space="preserve">產業輪動</t>
  </si>
  <si>
    <t xml:space="preserve">強勢類股龍頭股</t>
  </si>
  <si>
    <t xml:space="preserve">當週類股漲幅前 3 名，選類股中市值最大者</t>
  </si>
  <si>
    <t xml:space="preserve">強者恆強，龍頭吸金</t>
  </si>
  <si>
    <t xml:space="preserve">類股漲幅排序、市值排序，程式化容易</t>
  </si>
  <si>
    <t xml:space="preserve">補漲股策略</t>
  </si>
  <si>
    <t xml:space="preserve">類股已強勢漲 &gt; 10%、某股漲幅 &lt; 5%</t>
  </si>
  <si>
    <t xml:space="preserve">類股輪動，等待補漲</t>
  </si>
  <si>
    <t xml:space="preserve">「補漲」定義較主觀，需多重條件</t>
  </si>
  <si>
    <t xml:space="preserve">國際題材連動股</t>
  </si>
  <si>
    <t xml:space="preserve">對應國際指標股大漲（如 NVIDIA → 台積電）</t>
  </si>
  <si>
    <t xml:space="preserve">題材外溢效應</t>
  </si>
  <si>
    <t xml:space="preserve">國際指標可抓 Yahoo Finance，連動邏輯需人工定義</t>
  </si>
  <si>
    <t xml:space="preserve">期貨選擇權</t>
  </si>
  <si>
    <t xml:space="preserve">台指期未平倉量背離</t>
  </si>
  <si>
    <t xml:space="preserve">指數創新高、外資台指期未平倉淨多單未創新高</t>
  </si>
  <si>
    <t xml:space="preserve">法人不認同行情，留意反轉</t>
  </si>
  <si>
    <t xml:space="preserve">期交所每日公告未平倉，資料完整</t>
  </si>
  <si>
    <t xml:space="preserve">三大法人選擇權部位轉向</t>
  </si>
  <si>
    <t xml:space="preserve">外資選擇權 Delta 由正轉負（或反之）</t>
  </si>
  <si>
    <t xml:space="preserve">法人對未來方向看法轉變</t>
  </si>
  <si>
    <t xml:space="preserve">選擇權 Delta 計算需 IV 資料，較複雜</t>
  </si>
  <si>
    <t xml:space="preserve">摩台指/台指價差</t>
  </si>
  <si>
    <t xml:space="preserve">摩台指與台指期價差異常擴大或收斂</t>
  </si>
  <si>
    <t xml:space="preserve">套利機會或風險訊號</t>
  </si>
  <si>
    <t xml:space="preserve">摩台指與台指期價差，兩者皆有免費源</t>
  </si>
  <si>
    <r>
      <rPr>
        <sz val="10"/>
        <rFont val="Microsoft JhengHei"/>
        <family val="0"/>
        <charset val="1"/>
      </rPr>
      <t xml:space="preserve">PC Ratio </t>
    </r>
    <r>
      <rPr>
        <sz val="10"/>
        <rFont val="Noto Sans CJK SC"/>
        <family val="2"/>
      </rPr>
      <t xml:space="preserve">極端值</t>
    </r>
  </si>
  <si>
    <r>
      <rPr>
        <sz val="10"/>
        <rFont val="Microsoft JhengHei"/>
        <family val="0"/>
        <charset val="1"/>
      </rPr>
      <t xml:space="preserve">PC Ratio (OI) &gt; 1.5 </t>
    </r>
    <r>
      <rPr>
        <sz val="10"/>
        <rFont val="Noto Sans CJK SC"/>
        <family val="2"/>
      </rPr>
      <t xml:space="preserve">或 </t>
    </r>
    <r>
      <rPr>
        <sz val="10"/>
        <rFont val="Microsoft JhengHei"/>
        <family val="0"/>
        <charset val="1"/>
      </rPr>
      <t xml:space="preserve">&lt; 0.6</t>
    </r>
  </si>
  <si>
    <t xml:space="preserve">市場情緒極端，常見反轉</t>
  </si>
  <si>
    <r>
      <rPr>
        <sz val="10"/>
        <rFont val="Microsoft JhengHei"/>
        <family val="0"/>
        <charset val="1"/>
      </rPr>
      <t xml:space="preserve">PC Ratio </t>
    </r>
    <r>
      <rPr>
        <sz val="10"/>
        <rFont val="Noto Sans CJK SC"/>
        <family val="2"/>
      </rPr>
      <t xml:space="preserve">期交所每日公告，直接使用</t>
    </r>
  </si>
  <si>
    <t xml:space="preserve">組合進階</t>
  </si>
  <si>
    <t xml:space="preserve">三合一強勢股</t>
  </si>
  <si>
    <t xml:space="preserve">技術面（均線多頭）+ 籌碼面（外資買超）+ 基本面（EPS 季增）</t>
  </si>
  <si>
    <t xml:space="preserve">三面向共振，勝率最高</t>
  </si>
  <si>
    <t xml:space="preserve">三個子條件皆可量化，只是複合條件</t>
  </si>
  <si>
    <t xml:space="preserve">飆股早期偵測</t>
  </si>
  <si>
    <t xml:space="preserve">站上年線 + 大戶持股增加 + 月營收創高 + 量能放大</t>
  </si>
  <si>
    <t xml:space="preserve">歐尼爾 CANSLIM 簡化版</t>
  </si>
  <si>
    <t xml:space="preserve">需結合大戶持股(週更)，開發優先度中</t>
  </si>
  <si>
    <t xml:space="preserve">轉機股策略</t>
  </si>
  <si>
    <t xml:space="preserve">年線之下 + 季線翻揚 + 法人買超 + 月營收止跌回升</t>
  </si>
  <si>
    <t xml:space="preserve">股價落底反轉前的綜合訊號</t>
  </si>
  <si>
    <t xml:space="preserve">四條件皆可量化，只是需綜合判斷</t>
  </si>
  <si>
    <t xml:space="preserve">隔日沖避雷策略</t>
  </si>
  <si>
    <t xml:space="preserve">排除「主力買超 &gt; 80%、隔日預期賣壓大」的標的</t>
  </si>
  <si>
    <t xml:space="preserve">避免接刀，過濾短線炒作股</t>
  </si>
  <si>
    <t xml:space="preserve">過濾用</t>
  </si>
  <si>
    <t xml:space="preserve">「隔日沖」需分點行為分析，資料受限</t>
  </si>
  <si>
    <t xml:space="preserve">策略分類速查表</t>
  </si>
  <si>
    <t xml:space="preserve">策略數</t>
  </si>
  <si>
    <t xml:space="preserve">編號清單</t>
  </si>
  <si>
    <t xml:space="preserve">代表策略</t>
  </si>
  <si>
    <t xml:space="preserve">1, 2, 3, 4, 5, 6, 7, 8</t>
  </si>
  <si>
    <t xml:space="preserve">9, 10, 11, 12</t>
  </si>
  <si>
    <t xml:space="preserve">13, 14, 15, 16, 17, 18, 19, 20, 21</t>
  </si>
  <si>
    <t xml:space="preserve">22, 23, 24, 25, 26</t>
  </si>
  <si>
    <t xml:space="preserve">27, 28, 29, 30, 31</t>
  </si>
  <si>
    <t xml:space="preserve">32, 33, 34, 35</t>
  </si>
  <si>
    <t xml:space="preserve">36, 37, 38</t>
  </si>
  <si>
    <t xml:space="preserve">39, 40, 41, 42</t>
  </si>
  <si>
    <t xml:space="preserve">43, 44, 45, 46</t>
  </si>
  <si>
    <t xml:space="preserve">總計</t>
  </si>
  <si>
    <t xml:space="preserve">📋 各分類策略明細</t>
  </si>
  <si>
    <t xml:space="preserve">依市況篩選策略</t>
  </si>
  <si>
    <t xml:space="preserve">💡 操作建議：先判斷當前市況（看大盤年線、季線、月線位置與斜率），再從對應欄位挑選策略</t>
  </si>
  <si>
    <t xml:space="preserve">多頭市況</t>
  </si>
  <si>
    <t xml:space="preserve">適合：均線多頭、突破型、籌碼買超、強勢延續</t>
  </si>
  <si>
    <t xml:space="preserve">空頭市況</t>
  </si>
  <si>
    <t xml:space="preserve">適合：見底訊號、底部反轉、轉機股、避險策略</t>
  </si>
  <si>
    <t xml:space="preserve">盤整市況</t>
  </si>
  <si>
    <t xml:space="preserve">適合：區間操作、布林通道、突破訊號、價量背離</t>
  </si>
  <si>
    <t xml:space="preserve">全市況通用</t>
  </si>
  <si>
    <t xml:space="preserve">三大法人、基本面、籌碼集中等不受市況限制</t>
  </si>
  <si>
    <t xml:space="preserve">策略組合建議矩陣</t>
  </si>
  <si>
    <t xml:space="preserve">💡 多訊號共振原則：選 2 ~ 3 個不同面向的策略，避免重複（例如「均線多頭」+「外資買超」+「EPS 成長」勝過 3 個技術指標）</t>
  </si>
  <si>
    <t xml:space="preserve">組合名稱</t>
  </si>
  <si>
    <t xml:space="preserve">包含策略編號</t>
  </si>
  <si>
    <t xml:space="preserve">策略內容</t>
  </si>
  <si>
    <t xml:space="preserve">共振面向</t>
  </si>
  <si>
    <t xml:space="preserve">預期勝率</t>
  </si>
  <si>
    <t xml:space="preserve">經典三合一</t>
  </si>
  <si>
    <t xml:space="preserve">1, 13, 27</t>
  </si>
  <si>
    <t xml:space="preserve">均線多頭排列 + 外資連續買超 + EPS 連續成長</t>
  </si>
  <si>
    <t xml:space="preserve">技術 + 籌碼 + 基本面</t>
  </si>
  <si>
    <t xml:space="preserve">65-75%</t>
  </si>
  <si>
    <t xml:space="preserve">2, 9, 17, 28</t>
  </si>
  <si>
    <t xml:space="preserve">季線翻揚 + 量增突破 + 大戶集中 + 營收創高</t>
  </si>
  <si>
    <t xml:space="preserve">技術 + 量價 + 籌碼 + 基本面</t>
  </si>
  <si>
    <t xml:space="preserve">60-70%</t>
  </si>
  <si>
    <t xml:space="preserve">底部翻多訊號</t>
  </si>
  <si>
    <t xml:space="preserve">3, 11, 16, 22</t>
  </si>
  <si>
    <r>
      <rPr>
        <sz val="10"/>
        <rFont val="Microsoft JhengHei"/>
        <family val="0"/>
        <charset val="1"/>
      </rPr>
      <t xml:space="preserve">KD </t>
    </r>
    <r>
      <rPr>
        <sz val="10"/>
        <rFont val="Noto Sans CJK SC"/>
        <family val="2"/>
      </rPr>
      <t xml:space="preserve">低檔黃金交叉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價跌量縮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外資由空翻多 </t>
    </r>
    <r>
      <rPr>
        <sz val="10"/>
        <rFont val="Microsoft JhengHei"/>
        <family val="0"/>
        <charset val="1"/>
      </rPr>
      <t xml:space="preserve">+ W </t>
    </r>
    <r>
      <rPr>
        <sz val="10"/>
        <rFont val="Noto Sans CJK SC"/>
        <family val="2"/>
      </rPr>
      <t xml:space="preserve">底突破</t>
    </r>
  </si>
  <si>
    <t xml:space="preserve">技術 + 量價 + 籌碼 + 型態</t>
  </si>
  <si>
    <t xml:space="preserve">55-65%</t>
  </si>
  <si>
    <t xml:space="preserve">突破動能股</t>
  </si>
  <si>
    <t xml:space="preserve">5, 6, 9, 24</t>
  </si>
  <si>
    <t xml:space="preserve">布林收斂突破 + 高檔橫盤突破 + 量增突破 + 旗型突破</t>
  </si>
  <si>
    <t xml:space="preserve">技術 + 量價 + 型態</t>
  </si>
  <si>
    <t xml:space="preserve">軋空潛力股</t>
  </si>
  <si>
    <t xml:space="preserve">20, 21, 14</t>
  </si>
  <si>
    <t xml:space="preserve">券資比偏高 + 融資減股價漲 + 三大法人買超</t>
  </si>
  <si>
    <t xml:space="preserve">籌碼 + 籌碼 + 籌碼</t>
  </si>
  <si>
    <t xml:space="preserve">50-60%</t>
  </si>
  <si>
    <t xml:space="preserve">存股加碼點</t>
  </si>
  <si>
    <t xml:space="preserve">27, 29, 31, 11</t>
  </si>
  <si>
    <r>
      <rPr>
        <sz val="10"/>
        <rFont val="Microsoft JhengHei"/>
        <family val="0"/>
        <charset val="1"/>
      </rPr>
      <t xml:space="preserve">EPS </t>
    </r>
    <r>
      <rPr>
        <sz val="10"/>
        <rFont val="Noto Sans CJK SC"/>
        <family val="2"/>
      </rPr>
      <t xml:space="preserve">成長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高 </t>
    </r>
    <r>
      <rPr>
        <sz val="10"/>
        <rFont val="Microsoft JhengHei"/>
        <family val="0"/>
        <charset val="1"/>
      </rPr>
      <t xml:space="preserve">ROE + </t>
    </r>
    <r>
      <rPr>
        <sz val="10"/>
        <rFont val="Noto Sans CJK SC"/>
        <family val="2"/>
      </rPr>
      <t xml:space="preserve">高殖利率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價跌量縮</t>
    </r>
  </si>
  <si>
    <t xml:space="preserve">基本面 + 基本面 + 基本面 + 量價</t>
  </si>
  <si>
    <t xml:space="preserve">穩健配置</t>
  </si>
  <si>
    <t xml:space="preserve">短線爆發股</t>
  </si>
  <si>
    <t xml:space="preserve">10, 18, 19, 32</t>
  </si>
  <si>
    <t xml:space="preserve">爆量長紅 + 主力家數差 + 分點集中 + 法說會利多</t>
  </si>
  <si>
    <t xml:space="preserve">量價 + 籌碼 + 籌碼 + 消息</t>
  </si>
  <si>
    <t xml:space="preserve">轉機反轉訊號</t>
  </si>
  <si>
    <t xml:space="preserve">2, 16, 22, 28</t>
  </si>
  <si>
    <t xml:space="preserve">季線翻揚 + 外資由空翻多 + W 底 + 營收止跌</t>
  </si>
  <si>
    <t xml:space="preserve">技術 + 籌碼 + 型態 + 基本面</t>
  </si>
  <si>
    <t xml:space="preserve">55-70%</t>
  </si>
  <si>
    <t xml:space="preserve">強勢延續加碼</t>
  </si>
  <si>
    <t xml:space="preserve">1, 4, 6, 24</t>
  </si>
  <si>
    <t xml:space="preserve">均線多頭 + MACD 紅柱擴張 + 高檔突破 + 旗型突破</t>
  </si>
  <si>
    <t xml:space="preserve">技術 + 技術 + 量價 + 型態</t>
  </si>
  <si>
    <t xml:space="preserve">60-65%</t>
  </si>
  <si>
    <t xml:space="preserve">過濾陷阱組合</t>
  </si>
  <si>
    <t xml:space="preserve">46, 19, 11</t>
  </si>
  <si>
    <t xml:space="preserve">排除隔日沖 + 主力分點集中 + 量縮見底</t>
  </si>
  <si>
    <t xml:space="preserve">風控過濾</t>
  </si>
  <si>
    <t xml:space="preserve">提升整體勝率</t>
  </si>
  <si>
    <t xml:space="preserve">⚠️ 策略互斥提醒</t>
  </si>
  <si>
    <t xml:space="preserve">互斥組合</t>
  </si>
  <si>
    <t xml:space="preserve">原因說明</t>
  </si>
  <si>
    <t xml:space="preserve">均線多頭排列 + 價跌量縮見底</t>
  </si>
  <si>
    <t xml:space="preserve">前者為強勢延續訊號、後者為空頭末段，市況不相容</t>
  </si>
  <si>
    <t xml:space="preserve">軋空潛力股 + 主力分點集中買超</t>
  </si>
  <si>
    <t xml:space="preserve">前者依賴大量散戶融券、後者代表少數主力主導，籌碼結構衝突</t>
  </si>
  <si>
    <t xml:space="preserve">布林收斂突破（盤整突破）+ 跳空缺口未回補（強勢延續）</t>
  </si>
  <si>
    <t xml:space="preserve">前者為盤整突破、後者為趨勢加速，時機不同</t>
  </si>
  <si>
    <t xml:space="preserve">除權息行情 + 強勢類股龍頭股</t>
  </si>
  <si>
    <t xml:space="preserve">除權息有貼權風險、龍頭股需資金集中，操作邏輯不同</t>
  </si>
  <si>
    <t xml:space="preserve">殖利率穩定族群 + 短線爆發股</t>
  </si>
  <si>
    <t xml:space="preserve">持有週期完全不同（長線 vs 短線），資金運用衝突</t>
  </si>
  <si>
    <t xml:space="preserve">系統開發優先度排序表</t>
  </si>
  <si>
    <t xml:space="preserve">由此規劃您的開發階段：P0 立即開發、P1 近期規劃、P2 中期擴充、P3 長期或擱置</t>
  </si>
  <si>
    <t xml:space="preserve">優先度</t>
  </si>
  <si>
    <t xml:space="preserve">定義</t>
  </si>
  <si>
    <t xml:space="preserve">開發時機</t>
  </si>
  <si>
    <t xml:space="preserve">資料源穩定、量化可行性高、邏輯明確；系統核心價值所在</t>
  </si>
  <si>
    <t xml:space="preserve">第一階段（MVP 首發）</t>
  </si>
  <si>
    <t xml:space="preserve">資料源可取得、可量化，但需搭配額外邏輯或參數調校</t>
  </si>
  <si>
    <t xml:space="preserve">第二階段（穩定後擴充）</t>
  </si>
  <si>
    <t xml:space="preserve">資料源存在但取得或處理較複雜、或量化上有主觀成分</t>
  </si>
  <si>
    <t xml:space="preserve">第三階段（進階功能）</t>
  </si>
  <si>
    <t xml:space="preserve">資料源受限（多為付費）或量化易失真；建議先擱置</t>
  </si>
  <si>
    <t xml:space="preserve">暫緩開發，觀察需求</t>
  </si>
  <si>
    <t xml:space="preserve">【P0】 13 個策略</t>
  </si>
  <si>
    <t xml:space="preserve">資料難度</t>
  </si>
  <si>
    <t xml:space="preserve">【P1】 17 個策略</t>
  </si>
  <si>
    <t xml:space="preserve">【P2】 11 個策略</t>
  </si>
  <si>
    <t xml:space="preserve">【P3】 5 個策略</t>
  </si>
  <si>
    <t xml:space="preserve">策略資料來源對應表</t>
  </si>
  <si>
    <r>
      <rPr>
        <i val="true"/>
        <sz val="9"/>
        <color rgb="FF595959"/>
        <rFont val="Noto Sans CJK SC"/>
        <family val="2"/>
      </rPr>
      <t xml:space="preserve">為每個策略標註所需資料欄位、免費 </t>
    </r>
    <r>
      <rPr>
        <i val="true"/>
        <sz val="9"/>
        <color rgb="FF595959"/>
        <rFont val="Microsoft JhengHei"/>
        <family val="0"/>
        <charset val="1"/>
      </rPr>
      <t xml:space="preserve">API </t>
    </r>
    <r>
      <rPr>
        <i val="true"/>
        <sz val="9"/>
        <color rgb="FF595959"/>
        <rFont val="Noto Sans CJK SC"/>
        <family val="2"/>
      </rPr>
      <t xml:space="preserve">來源、更新頻率，作為系統開發資料層的規格參考</t>
    </r>
  </si>
  <si>
    <t xml:space="preserve">需要資料欄位</t>
  </si>
  <si>
    <t xml:space="preserve">資料來源</t>
  </si>
  <si>
    <t xml:space="preserve">API / URL</t>
  </si>
  <si>
    <t xml:space="preserve">更新頻率</t>
  </si>
  <si>
    <t xml:space="preserve">免費程度</t>
  </si>
  <si>
    <r>
      <rPr>
        <sz val="10"/>
        <rFont val="Noto Sans CJK SC"/>
        <family val="2"/>
      </rPr>
      <t xml:space="preserve">收盤價、</t>
    </r>
    <r>
      <rPr>
        <sz val="10"/>
        <rFont val="Microsoft JhengHei"/>
        <family val="0"/>
        <charset val="1"/>
      </rPr>
      <t xml:space="preserve">5/10/20/60</t>
    </r>
    <r>
      <rPr>
        <sz val="10"/>
        <rFont val="Noto Sans CJK SC"/>
        <family val="2"/>
      </rPr>
      <t xml:space="preserve">日均線</t>
    </r>
  </si>
  <si>
    <r>
      <rPr>
        <sz val="10"/>
        <rFont val="Microsoft JhengHei"/>
        <family val="0"/>
        <charset val="1"/>
      </rPr>
      <t xml:space="preserve">TWSE </t>
    </r>
    <r>
      <rPr>
        <sz val="10"/>
        <rFont val="Noto Sans CJK SC"/>
        <family val="2"/>
      </rPr>
      <t xml:space="preserve">個股日成交</t>
    </r>
  </si>
  <si>
    <t xml:space="preserve">https://www.twse.com.tw/exchangeReport/STOCK_DAY</t>
  </si>
  <si>
    <r>
      <rPr>
        <sz val="10"/>
        <rFont val="Noto Sans CJK SC"/>
        <family val="2"/>
      </rPr>
      <t xml:space="preserve">每日 </t>
    </r>
    <r>
      <rPr>
        <sz val="10"/>
        <rFont val="Microsoft JhengHei"/>
        <family val="0"/>
        <charset val="1"/>
      </rPr>
      <t xml:space="preserve">15:00</t>
    </r>
  </si>
  <si>
    <t xml:space="preserve">完全免費</t>
  </si>
  <si>
    <r>
      <rPr>
        <sz val="10"/>
        <rFont val="Noto Sans CJK SC"/>
        <family val="2"/>
      </rPr>
      <t xml:space="preserve">收盤價、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日均線走勢</t>
    </r>
  </si>
  <si>
    <t xml:space="preserve">同上</t>
  </si>
  <si>
    <r>
      <rPr>
        <sz val="10"/>
        <rFont val="Noto Sans CJK SC"/>
        <family val="2"/>
      </rPr>
      <t xml:space="preserve">收盤價、最高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最低價（</t>
    </r>
    <r>
      <rPr>
        <sz val="10"/>
        <rFont val="Microsoft JhengHei"/>
        <family val="0"/>
        <charset val="1"/>
      </rPr>
      <t xml:space="preserve">9</t>
    </r>
    <r>
      <rPr>
        <sz val="10"/>
        <rFont val="Noto Sans CJK SC"/>
        <family val="2"/>
      </rPr>
      <t xml:space="preserve">日）</t>
    </r>
  </si>
  <si>
    <r>
      <rPr>
        <sz val="10"/>
        <rFont val="Noto Sans CJK SC"/>
        <family val="2"/>
      </rPr>
      <t xml:space="preserve">收盤價（</t>
    </r>
    <r>
      <rPr>
        <sz val="10"/>
        <rFont val="Microsoft JhengHei"/>
        <family val="0"/>
        <charset val="1"/>
      </rPr>
      <t xml:space="preserve">26</t>
    </r>
    <r>
      <rPr>
        <sz val="10"/>
        <rFont val="Noto Sans CJK SC"/>
        <family val="2"/>
      </rPr>
      <t xml:space="preserve">日以上）</t>
    </r>
  </si>
  <si>
    <r>
      <rPr>
        <sz val="10"/>
        <rFont val="Noto Sans CJK SC"/>
        <family val="2"/>
      </rPr>
      <t xml:space="preserve">收盤價（</t>
    </r>
    <r>
      <rPr>
        <sz val="10"/>
        <rFont val="Microsoft JhengHei"/>
        <family val="0"/>
        <charset val="1"/>
      </rPr>
      <t xml:space="preserve">20</t>
    </r>
    <r>
      <rPr>
        <sz val="10"/>
        <rFont val="Noto Sans CJK SC"/>
        <family val="2"/>
      </rPr>
      <t xml:space="preserve">日以上）</t>
    </r>
  </si>
  <si>
    <t xml:space="preserve">收盤價、高低價區間</t>
  </si>
  <si>
    <t xml:space="preserve">開盤價、昨日最高價、成交量</t>
  </si>
  <si>
    <t xml:space="preserve">多條均線值</t>
  </si>
  <si>
    <r>
      <rPr>
        <sz val="10"/>
        <rFont val="Noto Sans CJK SC"/>
        <family val="2"/>
      </rPr>
      <t xml:space="preserve">收盤價、</t>
    </r>
    <r>
      <rPr>
        <sz val="10"/>
        <rFont val="Microsoft JhengHei"/>
        <family val="0"/>
        <charset val="1"/>
      </rPr>
      <t xml:space="preserve">60</t>
    </r>
    <r>
      <rPr>
        <sz val="10"/>
        <rFont val="Noto Sans CJK SC"/>
        <family val="2"/>
      </rPr>
      <t xml:space="preserve">日新高、成交量</t>
    </r>
  </si>
  <si>
    <r>
      <rPr>
        <sz val="10"/>
        <rFont val="Noto Sans CJK SC"/>
        <family val="2"/>
      </rPr>
      <t xml:space="preserve">成交量、</t>
    </r>
    <r>
      <rPr>
        <sz val="10"/>
        <rFont val="Microsoft JhengHei"/>
        <family val="0"/>
        <charset val="1"/>
      </rPr>
      <t xml:space="preserve">K</t>
    </r>
    <r>
      <rPr>
        <sz val="10"/>
        <rFont val="Noto Sans CJK SC"/>
        <family val="2"/>
      </rPr>
      <t xml:space="preserve">棒方向</t>
    </r>
  </si>
  <si>
    <t xml:space="preserve">連續下跌天數、成交量</t>
  </si>
  <si>
    <r>
      <rPr>
        <sz val="10"/>
        <rFont val="Microsoft JhengHei"/>
        <family val="0"/>
        <charset val="1"/>
      </rPr>
      <t xml:space="preserve">5/20/60</t>
    </r>
    <r>
      <rPr>
        <sz val="10"/>
        <rFont val="Noto Sans CJK SC"/>
        <family val="2"/>
      </rPr>
      <t xml:space="preserve">日均量</t>
    </r>
  </si>
  <si>
    <t xml:space="preserve">外資買賣超金額、天數</t>
  </si>
  <si>
    <r>
      <rPr>
        <sz val="10"/>
        <rFont val="Microsoft JhengHei"/>
        <family val="0"/>
        <charset val="1"/>
      </rPr>
      <t xml:space="preserve">TWSE </t>
    </r>
    <r>
      <rPr>
        <sz val="10"/>
        <rFont val="Noto Sans CJK SC"/>
        <family val="2"/>
      </rPr>
      <t xml:space="preserve">三大法人買賣超</t>
    </r>
  </si>
  <si>
    <t xml:space="preserve">https://www.twse.com.tw/fund/T86</t>
  </si>
  <si>
    <r>
      <rPr>
        <sz val="10"/>
        <rFont val="Noto Sans CJK SC"/>
        <family val="2"/>
      </rPr>
      <t xml:space="preserve">每日 </t>
    </r>
    <r>
      <rPr>
        <sz val="10"/>
        <rFont val="Microsoft JhengHei"/>
        <family val="0"/>
        <charset val="1"/>
      </rPr>
      <t xml:space="preserve">16:30</t>
    </r>
  </si>
  <si>
    <t xml:space="preserve">外資、投信、自營商買賣超</t>
  </si>
  <si>
    <t xml:space="preserve">TWSE T86</t>
  </si>
  <si>
    <t xml:space="preserve">投信買超、當日成交量</t>
  </si>
  <si>
    <t xml:space="preserve">外資近期買賣超記錄</t>
  </si>
  <si>
    <t xml:space="preserve">千張大戶持股、股東結構</t>
  </si>
  <si>
    <t xml:space="preserve">集保結算所週報</t>
  </si>
  <si>
    <t xml:space="preserve">https://www.tdcc.com.tw/portal/zh/smWeb/qryStock</t>
  </si>
  <si>
    <t xml:space="preserve">每週更新</t>
  </si>
  <si>
    <t xml:space="preserve">買賣家數差、券商分點</t>
  </si>
  <si>
    <r>
      <rPr>
        <sz val="10"/>
        <rFont val="Microsoft JhengHei"/>
        <family val="0"/>
        <charset val="1"/>
      </rPr>
      <t xml:space="preserve">TWSE </t>
    </r>
    <r>
      <rPr>
        <sz val="10"/>
        <rFont val="Noto Sans CJK SC"/>
        <family val="2"/>
      </rPr>
      <t xml:space="preserve">個股分點</t>
    </r>
  </si>
  <si>
    <t xml:space="preserve">https://bsr.twse.com.tw/bshtm/</t>
  </si>
  <si>
    <t xml:space="preserve">每日盤後</t>
  </si>
  <si>
    <t xml:space="preserve">免費但有限制</t>
  </si>
  <si>
    <r>
      <rPr>
        <sz val="10"/>
        <rFont val="Noto Sans CJK SC"/>
        <family val="2"/>
      </rPr>
      <t xml:space="preserve">前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大分點進出張數</t>
    </r>
  </si>
  <si>
    <t xml:space="preserve">融資融券餘額</t>
  </si>
  <si>
    <r>
      <rPr>
        <sz val="10"/>
        <rFont val="Microsoft JhengHei"/>
        <family val="0"/>
        <charset val="1"/>
      </rPr>
      <t xml:space="preserve">TWSE </t>
    </r>
    <r>
      <rPr>
        <sz val="10"/>
        <rFont val="Noto Sans CJK SC"/>
        <family val="2"/>
      </rPr>
      <t xml:space="preserve">融資融券</t>
    </r>
  </si>
  <si>
    <t xml:space="preserve">https://www.twse.com.tw/exchangeReport/MI_MARGN</t>
  </si>
  <si>
    <t xml:space="preserve">融資餘額、股價變化</t>
  </si>
  <si>
    <t xml:space="preserve">收盤價高低點、頸線</t>
  </si>
  <si>
    <r>
      <rPr>
        <sz val="10"/>
        <rFont val="Microsoft JhengHei"/>
        <family val="0"/>
        <charset val="1"/>
      </rPr>
      <t xml:space="preserve">K</t>
    </r>
    <r>
      <rPr>
        <sz val="10"/>
        <rFont val="Noto Sans CJK SC"/>
        <family val="2"/>
      </rPr>
      <t xml:space="preserve">線型態</t>
    </r>
  </si>
  <si>
    <r>
      <rPr>
        <sz val="10"/>
        <rFont val="Microsoft JhengHei"/>
        <family val="0"/>
        <charset val="1"/>
      </rPr>
      <t xml:space="preserve">K</t>
    </r>
    <r>
      <rPr>
        <sz val="10"/>
        <rFont val="Noto Sans CJK SC"/>
        <family val="2"/>
      </rPr>
      <t xml:space="preserve">線型態、量能</t>
    </r>
  </si>
  <si>
    <t xml:space="preserve">高低點趨勢線</t>
  </si>
  <si>
    <t xml:space="preserve">盤整區間高低</t>
  </si>
  <si>
    <r>
      <rPr>
        <sz val="10"/>
        <rFont val="Noto Sans CJK SC"/>
        <family val="2"/>
      </rPr>
      <t xml:space="preserve">季報 </t>
    </r>
    <r>
      <rPr>
        <sz val="10"/>
        <rFont val="Microsoft JhengHei"/>
        <family val="0"/>
        <charset val="1"/>
      </rPr>
      <t xml:space="preserve">EPS</t>
    </r>
  </si>
  <si>
    <t xml:space="preserve">公開資訊觀測站</t>
  </si>
  <si>
    <t xml:space="preserve">https://mops.twse.com.tw/mops/web/t164sb03</t>
  </si>
  <si>
    <r>
      <rPr>
        <sz val="10"/>
        <rFont val="Noto Sans CJK SC"/>
        <family val="2"/>
      </rPr>
      <t xml:space="preserve">每季 </t>
    </r>
    <r>
      <rPr>
        <sz val="10"/>
        <rFont val="Microsoft JhengHei"/>
        <family val="0"/>
        <charset val="1"/>
      </rPr>
      <t xml:space="preserve">45/85 </t>
    </r>
    <r>
      <rPr>
        <sz val="10"/>
        <rFont val="Noto Sans CJK SC"/>
        <family val="2"/>
      </rPr>
      <t xml:space="preserve">日內</t>
    </r>
  </si>
  <si>
    <t xml:space="preserve">月營收</t>
  </si>
  <si>
    <t xml:space="preserve">https://mops.twse.com.tw/mops/web/t21sc03_1</t>
  </si>
  <si>
    <r>
      <rPr>
        <sz val="10"/>
        <rFont val="Noto Sans CJK SC"/>
        <family val="2"/>
      </rPr>
      <t xml:space="preserve">每月 </t>
    </r>
    <r>
      <rPr>
        <sz val="10"/>
        <rFont val="Microsoft JhengHei"/>
        <family val="0"/>
        <charset val="1"/>
      </rPr>
      <t xml:space="preserve">10 </t>
    </r>
    <r>
      <rPr>
        <sz val="10"/>
        <rFont val="Noto Sans CJK SC"/>
        <family val="2"/>
      </rPr>
      <t xml:space="preserve">日前</t>
    </r>
  </si>
  <si>
    <r>
      <rPr>
        <sz val="10"/>
        <rFont val="Noto Sans CJK SC"/>
        <family val="2"/>
      </rPr>
      <t xml:space="preserve">高 </t>
    </r>
    <r>
      <rPr>
        <sz val="10"/>
        <rFont val="Microsoft JhengHei"/>
        <family val="0"/>
        <charset val="1"/>
      </rPr>
      <t xml:space="preserve">ROE </t>
    </r>
    <r>
      <rPr>
        <sz val="10"/>
        <rFont val="Noto Sans CJK SC"/>
        <family val="2"/>
      </rPr>
      <t xml:space="preserve">成長股</t>
    </r>
  </si>
  <si>
    <r>
      <rPr>
        <sz val="10"/>
        <rFont val="Microsoft JhengHei"/>
        <family val="0"/>
        <charset val="1"/>
      </rPr>
      <t xml:space="preserve">ROE</t>
    </r>
    <r>
      <rPr>
        <sz val="10"/>
        <rFont val="Noto Sans CJK SC"/>
        <family val="2"/>
      </rPr>
      <t xml:space="preserve">、淨值</t>
    </r>
  </si>
  <si>
    <t xml:space="preserve">每季</t>
  </si>
  <si>
    <r>
      <rPr>
        <sz val="10"/>
        <rFont val="Noto Sans CJK SC"/>
        <family val="2"/>
      </rPr>
      <t xml:space="preserve">法人預估 </t>
    </r>
    <r>
      <rPr>
        <sz val="10"/>
        <rFont val="Microsoft JhengHei"/>
        <family val="0"/>
        <charset val="1"/>
      </rPr>
      <t xml:space="preserve">EPS </t>
    </r>
    <r>
      <rPr>
        <sz val="10"/>
        <rFont val="Noto Sans CJK SC"/>
        <family val="2"/>
      </rPr>
      <t xml:space="preserve">上修</t>
    </r>
  </si>
  <si>
    <r>
      <rPr>
        <sz val="10"/>
        <rFont val="Noto Sans CJK SC"/>
        <family val="2"/>
      </rPr>
      <t xml:space="preserve">法人預估 </t>
    </r>
    <r>
      <rPr>
        <sz val="10"/>
        <rFont val="Microsoft JhengHei"/>
        <family val="0"/>
        <charset val="1"/>
      </rPr>
      <t xml:space="preserve">EPS</t>
    </r>
  </si>
  <si>
    <t xml:space="preserve">券商研究報告</t>
  </si>
  <si>
    <r>
      <rPr>
        <sz val="10"/>
        <rFont val="Noto Sans CJK SC"/>
        <family val="2"/>
      </rPr>
      <t xml:space="preserve">多數為付費源（財訊、</t>
    </r>
    <r>
      <rPr>
        <sz val="10"/>
        <rFont val="Microsoft JhengHei"/>
        <family val="0"/>
        <charset val="1"/>
      </rPr>
      <t xml:space="preserve">CMoney</t>
    </r>
    <r>
      <rPr>
        <sz val="10"/>
        <rFont val="Noto Sans CJK SC"/>
        <family val="2"/>
      </rPr>
      <t xml:space="preserve">）</t>
    </r>
  </si>
  <si>
    <t xml:space="preserve">不定期</t>
  </si>
  <si>
    <t xml:space="preserve">需付費</t>
  </si>
  <si>
    <t xml:space="preserve">配息紀錄、殖利率</t>
  </si>
  <si>
    <t xml:space="preserve">https://mops.twse.com.tw/mops/web/t05st09_2</t>
  </si>
  <si>
    <t xml:space="preserve">年報後</t>
  </si>
  <si>
    <t xml:space="preserve">法說會資訊、目標價</t>
  </si>
  <si>
    <r>
      <rPr>
        <sz val="10"/>
        <rFont val="Noto Sans CJK SC"/>
        <family val="2"/>
      </rPr>
      <t xml:space="preserve">公開資訊觀測站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券商報告</t>
    </r>
  </si>
  <si>
    <r>
      <rPr>
        <sz val="10"/>
        <rFont val="Microsoft JhengHei"/>
        <family val="0"/>
        <charset val="1"/>
      </rPr>
      <t xml:space="preserve">MOPS </t>
    </r>
    <r>
      <rPr>
        <sz val="10"/>
        <rFont val="Noto Sans CJK SC"/>
        <family val="2"/>
      </rPr>
      <t xml:space="preserve">有法說會日期，目標價需付費</t>
    </r>
  </si>
  <si>
    <t xml:space="preserve">除權息基準日、殖利率</t>
  </si>
  <si>
    <r>
      <rPr>
        <sz val="10"/>
        <rFont val="Microsoft JhengHei"/>
        <family val="0"/>
        <charset val="1"/>
      </rPr>
      <t xml:space="preserve">TWSE </t>
    </r>
    <r>
      <rPr>
        <sz val="10"/>
        <rFont val="Noto Sans CJK SC"/>
        <family val="2"/>
      </rPr>
      <t xml:space="preserve">除權除息</t>
    </r>
  </si>
  <si>
    <t xml:space="preserve">https://www.twse.com.tw/exchangeReport/TWT48U</t>
  </si>
  <si>
    <r>
      <rPr>
        <sz val="10"/>
        <rFont val="Noto Sans CJK SC"/>
        <family val="2"/>
      </rPr>
      <t xml:space="preserve">每年 </t>
    </r>
    <r>
      <rPr>
        <sz val="10"/>
        <rFont val="Microsoft JhengHei"/>
        <family val="0"/>
        <charset val="1"/>
      </rPr>
      <t xml:space="preserve">5~8 </t>
    </r>
    <r>
      <rPr>
        <sz val="10"/>
        <rFont val="Noto Sans CJK SC"/>
        <family val="2"/>
      </rPr>
      <t xml:space="preserve">月</t>
    </r>
  </si>
  <si>
    <t xml:space="preserve">財報公告日、隔日開盤</t>
  </si>
  <si>
    <t xml:space="preserve">MOPS + TWSE</t>
  </si>
  <si>
    <r>
      <rPr>
        <sz val="10"/>
        <rFont val="Microsoft JhengHei"/>
        <family val="0"/>
        <charset val="1"/>
      </rPr>
      <t xml:space="preserve">MOPS </t>
    </r>
    <r>
      <rPr>
        <sz val="10"/>
        <rFont val="Noto Sans CJK SC"/>
        <family val="2"/>
      </rPr>
      <t xml:space="preserve">有財報日期</t>
    </r>
  </si>
  <si>
    <t xml:space="preserve">季報後</t>
  </si>
  <si>
    <t xml:space="preserve">https://mops.twse.com.tw/mops/web/t35sc09</t>
  </si>
  <si>
    <t xml:space="preserve">類股漲跌幅、市值</t>
  </si>
  <si>
    <r>
      <rPr>
        <sz val="10"/>
        <rFont val="Microsoft JhengHei"/>
        <family val="0"/>
        <charset val="1"/>
      </rPr>
      <t xml:space="preserve">TWSE </t>
    </r>
    <r>
      <rPr>
        <sz val="10"/>
        <rFont val="Noto Sans CJK SC"/>
        <family val="2"/>
      </rPr>
      <t xml:space="preserve">產業別指數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個股市值</t>
    </r>
  </si>
  <si>
    <t xml:space="preserve">https://www.twse.com.tw/indicesReport/MI_5MINS_INDEX</t>
  </si>
  <si>
    <t xml:space="preserve">每日</t>
  </si>
  <si>
    <t xml:space="preserve">類股與個股漲跌對比</t>
  </si>
  <si>
    <r>
      <rPr>
        <sz val="10"/>
        <rFont val="Microsoft JhengHei"/>
        <family val="0"/>
        <charset val="1"/>
      </rPr>
      <t xml:space="preserve">TWSE </t>
    </r>
    <r>
      <rPr>
        <sz val="10"/>
        <rFont val="Noto Sans CJK SC"/>
        <family val="2"/>
      </rPr>
      <t xml:space="preserve">產業別指數</t>
    </r>
  </si>
  <si>
    <t xml:space="preserve">國際指標股報價</t>
  </si>
  <si>
    <t xml:space="preserve">Yahoo Finance / Investing.com</t>
  </si>
  <si>
    <t xml:space="preserve">https://finance.yahoo.com/</t>
  </si>
  <si>
    <t xml:space="preserve">台指期未平倉、外資部位</t>
  </si>
  <si>
    <t xml:space="preserve">期交所每日交易</t>
  </si>
  <si>
    <t xml:space="preserve">https://www.taifex.com.tw/cht/3/futContractsDate</t>
  </si>
  <si>
    <r>
      <rPr>
        <sz val="10"/>
        <rFont val="Noto Sans CJK SC"/>
        <family val="2"/>
      </rPr>
      <t xml:space="preserve">每日 </t>
    </r>
    <r>
      <rPr>
        <sz val="10"/>
        <rFont val="Microsoft JhengHei"/>
        <family val="0"/>
        <charset val="1"/>
      </rPr>
      <t xml:space="preserve">15:30</t>
    </r>
  </si>
  <si>
    <r>
      <rPr>
        <sz val="10"/>
        <rFont val="Noto Sans CJK SC"/>
        <family val="2"/>
      </rPr>
      <t xml:space="preserve">選擇權 </t>
    </r>
    <r>
      <rPr>
        <sz val="10"/>
        <rFont val="Microsoft JhengHei"/>
        <family val="0"/>
        <charset val="1"/>
      </rPr>
      <t xml:space="preserve">Delta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IV</t>
    </r>
  </si>
  <si>
    <t xml:space="preserve">期交所選擇權每日成交</t>
  </si>
  <si>
    <t xml:space="preserve">https://www.taifex.com.tw/cht/3/dailyOptions</t>
  </si>
  <si>
    <r>
      <rPr>
        <sz val="10"/>
        <rFont val="Noto Sans CJK SC"/>
        <family val="2"/>
      </rPr>
      <t xml:space="preserve">摩台指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台指價差</t>
    </r>
  </si>
  <si>
    <t xml:space="preserve">摩台指、台指期價格</t>
  </si>
  <si>
    <r>
      <rPr>
        <sz val="10"/>
        <rFont val="Noto Sans CJK SC"/>
        <family val="2"/>
      </rPr>
      <t xml:space="preserve">期交所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富時羅素</t>
    </r>
  </si>
  <si>
    <t xml:space="preserve">台指期免費、摩台指需自建</t>
  </si>
  <si>
    <r>
      <rPr>
        <sz val="10"/>
        <rFont val="Microsoft JhengHei"/>
        <family val="0"/>
        <charset val="1"/>
      </rPr>
      <t xml:space="preserve">Put/Call </t>
    </r>
    <r>
      <rPr>
        <sz val="10"/>
        <rFont val="Noto Sans CJK SC"/>
        <family val="2"/>
      </rPr>
      <t xml:space="preserve">未平倉、成交</t>
    </r>
  </si>
  <si>
    <r>
      <rPr>
        <sz val="10"/>
        <rFont val="Noto Sans CJK SC"/>
        <family val="2"/>
      </rPr>
      <t xml:space="preserve">期交所 </t>
    </r>
    <r>
      <rPr>
        <sz val="10"/>
        <rFont val="Microsoft JhengHei"/>
        <family val="0"/>
        <charset val="1"/>
      </rPr>
      <t xml:space="preserve">PC Ratio</t>
    </r>
  </si>
  <si>
    <t xml:space="preserve">https://www.taifex.com.tw/cht/3/pcRatio</t>
  </si>
  <si>
    <r>
      <rPr>
        <sz val="10"/>
        <rFont val="Noto Sans CJK SC"/>
        <family val="2"/>
      </rPr>
      <t xml:space="preserve">組合：均線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法人 </t>
    </r>
    <r>
      <rPr>
        <sz val="10"/>
        <rFont val="Microsoft JhengHei"/>
        <family val="0"/>
        <charset val="1"/>
      </rPr>
      <t xml:space="preserve">+ EPS</t>
    </r>
  </si>
  <si>
    <t xml:space="preserve">TWSE + MOPS</t>
  </si>
  <si>
    <t xml:space="preserve">整合三個來源</t>
  </si>
  <si>
    <t xml:space="preserve">多來源</t>
  </si>
  <si>
    <r>
      <rPr>
        <sz val="10"/>
        <rFont val="Noto Sans CJK SC"/>
        <family val="2"/>
      </rPr>
      <t xml:space="preserve">組合：均線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大戶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營收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量能</t>
    </r>
  </si>
  <si>
    <r>
      <rPr>
        <sz val="10"/>
        <rFont val="Microsoft JhengHei"/>
        <family val="0"/>
        <charset val="1"/>
      </rPr>
      <t xml:space="preserve">TWSE + </t>
    </r>
    <r>
      <rPr>
        <sz val="10"/>
        <rFont val="Noto Sans CJK SC"/>
        <family val="2"/>
      </rPr>
      <t xml:space="preserve">集保 </t>
    </r>
    <r>
      <rPr>
        <sz val="10"/>
        <rFont val="Microsoft JhengHei"/>
        <family val="0"/>
        <charset val="1"/>
      </rPr>
      <t xml:space="preserve">+ MOPS</t>
    </r>
  </si>
  <si>
    <t xml:space="preserve">整合四個來源</t>
  </si>
  <si>
    <r>
      <rPr>
        <sz val="10"/>
        <rFont val="Noto Sans CJK SC"/>
        <family val="2"/>
      </rPr>
      <t xml:space="preserve">組合：均線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法人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型態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營收</t>
    </r>
  </si>
  <si>
    <t xml:space="preserve">分點資料、隔日沖行為</t>
  </si>
  <si>
    <r>
      <rPr>
        <sz val="10"/>
        <rFont val="Noto Sans CJK SC"/>
        <family val="2"/>
      </rPr>
      <t xml:space="preserve">同 </t>
    </r>
    <r>
      <rPr>
        <sz val="10"/>
        <rFont val="Microsoft JhengHei"/>
        <family val="0"/>
        <charset val="1"/>
      </rPr>
      <t xml:space="preserve">18/19</t>
    </r>
  </si>
  <si>
    <t xml:space="preserve">台股免費資料來源集中清單</t>
  </si>
  <si>
    <r>
      <rPr>
        <i val="true"/>
        <sz val="9"/>
        <color rgb="FF595959"/>
        <rFont val="Noto Sans CJK SC"/>
        <family val="2"/>
      </rPr>
      <t xml:space="preserve">所有 </t>
    </r>
    <r>
      <rPr>
        <i val="true"/>
        <sz val="9"/>
        <color rgb="FF595959"/>
        <rFont val="Microsoft JhengHei"/>
        <family val="0"/>
        <charset val="1"/>
      </rPr>
      <t xml:space="preserve">46 </t>
    </r>
    <r>
      <rPr>
        <i val="true"/>
        <sz val="9"/>
        <color rgb="FF595959"/>
        <rFont val="Noto Sans CJK SC"/>
        <family val="2"/>
      </rPr>
      <t xml:space="preserve">個策略用到的免費資料源，依供應機構分組列出，作為系統資料層開發參考</t>
    </r>
  </si>
  <si>
    <r>
      <rPr>
        <b val="true"/>
        <sz val="12"/>
        <color rgb="FF1F3864"/>
        <rFont val="Microsoft JhengHei"/>
        <family val="0"/>
        <charset val="1"/>
      </rPr>
      <t xml:space="preserve">TWSE</t>
    </r>
    <r>
      <rPr>
        <b val="true"/>
        <sz val="12"/>
        <color rgb="FF1F3864"/>
        <rFont val="Noto Sans CJK SC"/>
        <family val="2"/>
      </rPr>
      <t xml:space="preserve">（台灣證券交易所）</t>
    </r>
  </si>
  <si>
    <t xml:space="preserve">資料名稱</t>
  </si>
  <si>
    <r>
      <rPr>
        <b val="true"/>
        <sz val="10"/>
        <color rgb="FFFFFFFF"/>
        <rFont val="Microsoft JhengHei"/>
        <family val="0"/>
        <charset val="1"/>
      </rPr>
      <t xml:space="preserve">URL / </t>
    </r>
    <r>
      <rPr>
        <b val="true"/>
        <sz val="10"/>
        <color rgb="FFFFFFFF"/>
        <rFont val="Noto Sans CJK SC"/>
        <family val="2"/>
      </rPr>
      <t xml:space="preserve">端點</t>
    </r>
  </si>
  <si>
    <t xml:space="preserve">用途說明</t>
  </si>
  <si>
    <t xml:space="preserve">個股日成交資訊</t>
  </si>
  <si>
    <r>
      <rPr>
        <sz val="10"/>
        <rFont val="Noto Sans CJK SC"/>
        <family val="2"/>
      </rPr>
      <t xml:space="preserve">個股 </t>
    </r>
    <r>
      <rPr>
        <sz val="10"/>
        <rFont val="Microsoft JhengHei"/>
        <family val="0"/>
        <charset val="1"/>
      </rPr>
      <t xml:space="preserve">K </t>
    </r>
    <r>
      <rPr>
        <sz val="10"/>
        <rFont val="Noto Sans CJK SC"/>
        <family val="2"/>
      </rPr>
      <t xml:space="preserve">線基礎，用於策略 </t>
    </r>
    <r>
      <rPr>
        <sz val="10"/>
        <rFont val="Microsoft JhengHei"/>
        <family val="0"/>
        <charset val="1"/>
      </rPr>
      <t xml:space="preserve">1-12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22-26</t>
    </r>
  </si>
  <si>
    <r>
      <rPr>
        <sz val="10"/>
        <rFont val="Noto Sans CJK SC"/>
        <family val="2"/>
      </rPr>
      <t xml:space="preserve">三大法人買賣超（</t>
    </r>
    <r>
      <rPr>
        <sz val="10"/>
        <rFont val="Microsoft JhengHei"/>
        <family val="0"/>
        <charset val="1"/>
      </rPr>
      <t xml:space="preserve">T86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</si>
  <si>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外資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投信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自營商，用於策略 </t>
    </r>
    <r>
      <rPr>
        <sz val="10"/>
        <rFont val="Microsoft JhengHei"/>
        <family val="0"/>
        <charset val="1"/>
      </rPr>
      <t xml:space="preserve">13-16</t>
    </r>
  </si>
  <si>
    <r>
      <rPr>
        <sz val="10"/>
        <rFont val="Noto Sans CJK SC"/>
        <family val="2"/>
      </rPr>
      <t xml:space="preserve">融資融券餘額（</t>
    </r>
    <r>
      <rPr>
        <sz val="10"/>
        <rFont val="Microsoft JhengHei"/>
        <family val="0"/>
        <charset val="1"/>
      </rPr>
      <t xml:space="preserve">MI_MARGN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</si>
  <si>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券資比計算，用於策略 </t>
    </r>
    <r>
      <rPr>
        <sz val="10"/>
        <rFont val="Microsoft JhengHei"/>
        <family val="0"/>
        <charset val="1"/>
      </rPr>
      <t xml:space="preserve">20-21</t>
    </r>
  </si>
  <si>
    <t xml:space="preserve">個股分點進出</t>
  </si>
  <si>
    <r>
      <rPr>
        <sz val="10"/>
        <rFont val="Noto Sans CJK SC"/>
        <family val="2"/>
      </rPr>
      <t xml:space="preserve">主力分點，用於策略 </t>
    </r>
    <r>
      <rPr>
        <sz val="10"/>
        <rFont val="Microsoft JhengHei"/>
        <family val="0"/>
        <charset val="1"/>
      </rPr>
      <t xml:space="preserve">18-19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46</t>
    </r>
  </si>
  <si>
    <t xml:space="preserve">產業別指數</t>
  </si>
  <si>
    <r>
      <rPr>
        <sz val="10"/>
        <rFont val="Noto Sans CJK SC"/>
        <family val="2"/>
      </rPr>
      <t xml:space="preserve">類股輪動，用於策略 </t>
    </r>
    <r>
      <rPr>
        <sz val="10"/>
        <rFont val="Microsoft JhengHei"/>
        <family val="0"/>
        <charset val="1"/>
      </rPr>
      <t xml:space="preserve">36-37</t>
    </r>
  </si>
  <si>
    <t xml:space="preserve">除權除息預告</t>
  </si>
  <si>
    <r>
      <rPr>
        <sz val="10"/>
        <rFont val="Noto Sans CJK SC"/>
        <family val="2"/>
      </rPr>
      <t xml:space="preserve">每年 </t>
    </r>
    <r>
      <rPr>
        <sz val="10"/>
        <rFont val="Microsoft JhengHei"/>
        <family val="0"/>
        <charset val="1"/>
      </rPr>
      <t xml:space="preserve">5-8 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</si>
  <si>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除權息行情，用於策略 </t>
    </r>
    <r>
      <rPr>
        <sz val="10"/>
        <rFont val="Microsoft JhengHei"/>
        <family val="0"/>
        <charset val="1"/>
      </rPr>
      <t xml:space="preserve">33</t>
    </r>
  </si>
  <si>
    <r>
      <rPr>
        <b val="true"/>
        <sz val="12"/>
        <color rgb="FF1F3864"/>
        <rFont val="Microsoft JhengHei"/>
        <family val="0"/>
        <charset val="1"/>
      </rPr>
      <t xml:space="preserve">TPEx</t>
    </r>
    <r>
      <rPr>
        <b val="true"/>
        <sz val="12"/>
        <color rgb="FF1F3864"/>
        <rFont val="Noto Sans CJK SC"/>
        <family val="2"/>
      </rPr>
      <t xml:space="preserve">（櫃買中心）</t>
    </r>
  </si>
  <si>
    <t xml:space="preserve">上櫃個股日成交</t>
  </si>
  <si>
    <t xml:space="preserve">https://www.tpex.org.tw/web/stock/aftertrading/</t>
  </si>
  <si>
    <r>
      <rPr>
        <sz val="10"/>
        <rFont val="Noto Sans CJK SC"/>
        <family val="2"/>
      </rPr>
      <t xml:space="preserve">上櫃股 </t>
    </r>
    <r>
      <rPr>
        <sz val="10"/>
        <rFont val="Microsoft JhengHei"/>
        <family val="0"/>
        <charset val="1"/>
      </rPr>
      <t xml:space="preserve">K </t>
    </r>
    <r>
      <rPr>
        <sz val="10"/>
        <rFont val="Noto Sans CJK SC"/>
        <family val="2"/>
      </rPr>
      <t xml:space="preserve">線</t>
    </r>
  </si>
  <si>
    <t xml:space="preserve">上櫃三大法人買賣超</t>
  </si>
  <si>
    <t xml:space="preserve">https://www.tpex.org.tw/web/stock/3insti/</t>
  </si>
  <si>
    <t xml:space="preserve">上櫃法人資料</t>
  </si>
  <si>
    <t xml:space="preserve">上櫃融資融券</t>
  </si>
  <si>
    <t xml:space="preserve">https://www.tpex.org.tw/web/stock/margin_trading/</t>
  </si>
  <si>
    <t xml:space="preserve">上櫃券資比</t>
  </si>
  <si>
    <r>
      <rPr>
        <b val="true"/>
        <sz val="12"/>
        <color rgb="FF1F3864"/>
        <rFont val="Microsoft JhengHei"/>
        <family val="0"/>
        <charset val="1"/>
      </rPr>
      <t xml:space="preserve">TAIFEX</t>
    </r>
    <r>
      <rPr>
        <b val="true"/>
        <sz val="12"/>
        <color rgb="FF1F3864"/>
        <rFont val="Noto Sans CJK SC"/>
        <family val="2"/>
      </rPr>
      <t xml:space="preserve">（期貨交易所）</t>
    </r>
  </si>
  <si>
    <t xml:space="preserve">台指期每日成交行情</t>
  </si>
  <si>
    <r>
      <rPr>
        <sz val="10"/>
        <rFont val="Noto Sans CJK SC"/>
        <family val="2"/>
      </rPr>
      <t xml:space="preserve">台指期價量，用於策略 </t>
    </r>
    <r>
      <rPr>
        <sz val="10"/>
        <rFont val="Microsoft JhengHei"/>
        <family val="0"/>
        <charset val="1"/>
      </rPr>
      <t xml:space="preserve">39</t>
    </r>
  </si>
  <si>
    <t xml:space="preserve">三大法人期貨部位</t>
  </si>
  <si>
    <t xml:space="preserve">https://www.taifex.com.tw/cht/3/futContractsDateExcel</t>
  </si>
  <si>
    <r>
      <rPr>
        <sz val="10"/>
        <rFont val="Noto Sans CJK SC"/>
        <family val="2"/>
      </rPr>
      <t xml:space="preserve">外資期貨多空，策略 </t>
    </r>
    <r>
      <rPr>
        <sz val="10"/>
        <rFont val="Microsoft JhengHei"/>
        <family val="0"/>
        <charset val="1"/>
      </rPr>
      <t xml:space="preserve">39</t>
    </r>
  </si>
  <si>
    <t xml:space="preserve">選擇權每日成交</t>
  </si>
  <si>
    <r>
      <rPr>
        <sz val="10"/>
        <rFont val="Noto Sans CJK SC"/>
        <family val="2"/>
      </rPr>
      <t xml:space="preserve">選擇權 </t>
    </r>
    <r>
      <rPr>
        <sz val="10"/>
        <rFont val="Microsoft JhengHei"/>
        <family val="0"/>
        <charset val="1"/>
      </rPr>
      <t xml:space="preserve">OI</t>
    </r>
    <r>
      <rPr>
        <sz val="10"/>
        <rFont val="Noto Sans CJK SC"/>
        <family val="2"/>
      </rPr>
      <t xml:space="preserve">，策略 </t>
    </r>
    <r>
      <rPr>
        <sz val="10"/>
        <rFont val="Microsoft JhengHei"/>
        <family val="0"/>
        <charset val="1"/>
      </rPr>
      <t xml:space="preserve">40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42</t>
    </r>
  </si>
  <si>
    <t xml:space="preserve">Put/Call Ratio</t>
  </si>
  <si>
    <r>
      <rPr>
        <sz val="10"/>
        <rFont val="Noto Sans CJK SC"/>
        <family val="2"/>
      </rPr>
      <t xml:space="preserve">情緒指標，策略 </t>
    </r>
    <r>
      <rPr>
        <sz val="10"/>
        <rFont val="Microsoft JhengHei"/>
        <family val="0"/>
        <charset val="1"/>
      </rPr>
      <t xml:space="preserve">42</t>
    </r>
  </si>
  <si>
    <t xml:space="preserve">大額交易人未沖銷</t>
  </si>
  <si>
    <t xml:space="preserve">https://www.taifex.com.tw/cht/3/largeTraderFutQry</t>
  </si>
  <si>
    <t xml:space="preserve">十大交易人淨額</t>
  </si>
  <si>
    <r>
      <rPr>
        <b val="true"/>
        <sz val="12"/>
        <color rgb="FF1F3864"/>
        <rFont val="Microsoft JhengHei"/>
        <family val="0"/>
        <charset val="1"/>
      </rPr>
      <t xml:space="preserve">MOPS</t>
    </r>
    <r>
      <rPr>
        <b val="true"/>
        <sz val="12"/>
        <color rgb="FF1F3864"/>
        <rFont val="Noto Sans CJK SC"/>
        <family val="2"/>
      </rPr>
      <t xml:space="preserve">（公開資訊觀測站）</t>
    </r>
  </si>
  <si>
    <t xml:space="preserve">財務報告（季報）</t>
  </si>
  <si>
    <r>
      <rPr>
        <sz val="10"/>
        <rFont val="Microsoft JhengHei"/>
        <family val="0"/>
        <charset val="1"/>
      </rPr>
      <t xml:space="preserve">EPS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ROE</t>
    </r>
    <r>
      <rPr>
        <sz val="10"/>
        <rFont val="Noto Sans CJK SC"/>
        <family val="2"/>
      </rPr>
      <t xml:space="preserve">，策略 </t>
    </r>
    <r>
      <rPr>
        <sz val="10"/>
        <rFont val="Microsoft JhengHei"/>
        <family val="0"/>
        <charset val="1"/>
      </rPr>
      <t xml:space="preserve">27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29</t>
    </r>
  </si>
  <si>
    <t xml:space="preserve">每月營收公告</t>
  </si>
  <si>
    <r>
      <rPr>
        <sz val="10"/>
        <rFont val="Noto Sans CJK SC"/>
        <family val="2"/>
      </rPr>
      <t xml:space="preserve">月營收，策略 </t>
    </r>
    <r>
      <rPr>
        <sz val="10"/>
        <rFont val="Microsoft JhengHei"/>
        <family val="0"/>
        <charset val="1"/>
      </rPr>
      <t xml:space="preserve">28</t>
    </r>
  </si>
  <si>
    <t xml:space="preserve">股利政策</t>
  </si>
  <si>
    <r>
      <rPr>
        <sz val="10"/>
        <rFont val="Noto Sans CJK SC"/>
        <family val="2"/>
      </rPr>
      <t xml:space="preserve">配息殖利率，策略 </t>
    </r>
    <r>
      <rPr>
        <sz val="10"/>
        <rFont val="Microsoft JhengHei"/>
        <family val="0"/>
        <charset val="1"/>
      </rPr>
      <t xml:space="preserve">31</t>
    </r>
  </si>
  <si>
    <r>
      <rPr>
        <sz val="10"/>
        <rFont val="Noto Sans CJK SC"/>
        <family val="2"/>
      </rPr>
      <t xml:space="preserve">事件驅動，策略 </t>
    </r>
    <r>
      <rPr>
        <sz val="10"/>
        <rFont val="Microsoft JhengHei"/>
        <family val="0"/>
        <charset val="1"/>
      </rPr>
      <t xml:space="preserve">35</t>
    </r>
  </si>
  <si>
    <t xml:space="preserve">法說會資訊</t>
  </si>
  <si>
    <t xml:space="preserve">https://mops.twse.com.tw/mops/web/t100sb02_1</t>
  </si>
  <si>
    <r>
      <rPr>
        <sz val="10"/>
        <rFont val="Noto Sans CJK SC"/>
        <family val="2"/>
      </rPr>
      <t xml:space="preserve">法說會日期，策略 </t>
    </r>
    <r>
      <rPr>
        <sz val="10"/>
        <rFont val="Microsoft JhengHei"/>
        <family val="0"/>
        <charset val="1"/>
      </rPr>
      <t xml:space="preserve">32</t>
    </r>
  </si>
  <si>
    <r>
      <rPr>
        <b val="true"/>
        <sz val="12"/>
        <color rgb="FF1F3864"/>
        <rFont val="Microsoft JhengHei"/>
        <family val="0"/>
        <charset val="1"/>
      </rPr>
      <t xml:space="preserve">TDCC</t>
    </r>
    <r>
      <rPr>
        <b val="true"/>
        <sz val="12"/>
        <color rgb="FF1F3864"/>
        <rFont val="Noto Sans CJK SC"/>
        <family val="2"/>
      </rPr>
      <t xml:space="preserve">（集保結算所）</t>
    </r>
  </si>
  <si>
    <t xml:space="preserve">集保股權分散表</t>
  </si>
  <si>
    <r>
      <rPr>
        <sz val="10"/>
        <rFont val="Noto Sans CJK SC"/>
        <family val="2"/>
      </rPr>
      <t xml:space="preserve">千張大戶持股，策略 </t>
    </r>
    <r>
      <rPr>
        <sz val="10"/>
        <rFont val="Microsoft JhengHei"/>
        <family val="0"/>
        <charset val="1"/>
      </rPr>
      <t xml:space="preserve">17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44</t>
    </r>
  </si>
  <si>
    <t xml:space="preserve">其他</t>
  </si>
  <si>
    <t xml:space="preserve">Yahoo Finance</t>
  </si>
  <si>
    <r>
      <rPr>
        <sz val="10"/>
        <rFont val="Noto Sans CJK SC"/>
        <family val="2"/>
      </rPr>
      <t xml:space="preserve">即時（延遲 </t>
    </r>
    <r>
      <rPr>
        <sz val="10"/>
        <rFont val="Microsoft JhengHei"/>
        <family val="0"/>
        <charset val="1"/>
      </rPr>
      <t xml:space="preserve">15 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</si>
  <si>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國際指標股，策略 </t>
    </r>
    <r>
      <rPr>
        <sz val="10"/>
        <rFont val="Microsoft JhengHei"/>
        <family val="0"/>
        <charset val="1"/>
      </rPr>
      <t xml:space="preserve">38</t>
    </r>
  </si>
  <si>
    <r>
      <rPr>
        <sz val="10"/>
        <rFont val="Microsoft JhengHei"/>
        <family val="0"/>
        <charset val="1"/>
      </rPr>
      <t xml:space="preserve">TWSE MIS </t>
    </r>
    <r>
      <rPr>
        <sz val="10"/>
        <rFont val="Noto Sans CJK SC"/>
        <family val="2"/>
      </rPr>
      <t xml:space="preserve">盤中資料</t>
    </r>
  </si>
  <si>
    <t xml:space="preserve">https://mis.twse.com.tw/stock/api/getStockInfo.jsp</t>
  </si>
  <si>
    <r>
      <rPr>
        <sz val="10"/>
        <rFont val="Microsoft JhengHei"/>
        <family val="0"/>
        <charset val="1"/>
      </rPr>
      <t xml:space="preserve">5-20 </t>
    </r>
    <r>
      <rPr>
        <sz val="10"/>
        <rFont val="Noto Sans CJK SC"/>
        <family val="2"/>
      </rPr>
      <t xml:space="preserve">秒延遲</t>
    </r>
  </si>
  <si>
    <t xml:space="preserve">盤中即時報價，未來盤中觸發用</t>
  </si>
  <si>
    <t xml:space="preserve">個人策略採用與績效追蹤表</t>
  </si>
  <si>
    <t xml:space="preserve">📝 填寫說明：採用日期、回測勝率、實戰交易筆數、累計報酬率，每月底更新一次</t>
  </si>
  <si>
    <t xml:space="preserve">是否採用</t>
  </si>
  <si>
    <t xml:space="preserve">採用日期</t>
  </si>
  <si>
    <t xml:space="preserve">回測樣本數</t>
  </si>
  <si>
    <t xml:space="preserve">回測勝率%</t>
  </si>
  <si>
    <t xml:space="preserve">回測報酬%</t>
  </si>
  <si>
    <t xml:space="preserve">實戰交易筆數</t>
  </si>
  <si>
    <t xml:space="preserve">實戰勝率%</t>
  </si>
  <si>
    <t xml:space="preserve">累計報酬%</t>
  </si>
  <si>
    <t xml:space="preserve">個人評分(1-5)</t>
  </si>
  <si>
    <t xml:space="preserve">備註</t>
  </si>
  <si>
    <t xml:space="preserve">統計</t>
  </si>
  <si>
    <t xml:space="preserve">採用中策略</t>
  </si>
  <si>
    <t xml:space="preserve">實戰總筆數</t>
  </si>
  <si>
    <t xml:space="preserve">平均累計報酬%</t>
  </si>
  <si>
    <t xml:space="preserve">策略關鍵參數設定（可調整閾值）</t>
  </si>
  <si>
    <t xml:space="preserve">💡 藍字為可調整參數，依您的交易風格調整。建議從預設值開始，每月檢視一次。</t>
  </si>
  <si>
    <t xml:space="preserve">參數名稱</t>
  </si>
  <si>
    <t xml:space="preserve">預設值</t>
  </si>
  <si>
    <t xml:space="preserve">建議範圍</t>
  </si>
  <si>
    <t xml:space="preserve">說明</t>
  </si>
  <si>
    <t xml:space="preserve">短期均線 (MA 短)</t>
  </si>
  <si>
    <t xml:space="preserve">3 ~ 10</t>
  </si>
  <si>
    <t xml:space="preserve">短線交易者常用 5 日</t>
  </si>
  <si>
    <t xml:space="preserve">中期均線 (MA 中)</t>
  </si>
  <si>
    <t xml:space="preserve">10 ~ 30</t>
  </si>
  <si>
    <t xml:space="preserve">月線、波段操作生命線</t>
  </si>
  <si>
    <t xml:space="preserve">長期均線 (MA 長)</t>
  </si>
  <si>
    <t xml:space="preserve">60 ~ 120</t>
  </si>
  <si>
    <t xml:space="preserve">季線、中期趨勢分水嶺</t>
  </si>
  <si>
    <r>
      <rPr>
        <sz val="10"/>
        <rFont val="Microsoft JhengHei"/>
        <family val="0"/>
        <charset val="1"/>
      </rPr>
      <t xml:space="preserve">KD </t>
    </r>
    <r>
      <rPr>
        <sz val="10"/>
        <rFont val="Noto Sans CJK SC"/>
        <family val="2"/>
      </rPr>
      <t xml:space="preserve">超買區</t>
    </r>
  </si>
  <si>
    <t xml:space="preserve">75 ~ 85</t>
  </si>
  <si>
    <t xml:space="preserve">高於此值視為超買</t>
  </si>
  <si>
    <r>
      <rPr>
        <sz val="10"/>
        <rFont val="Microsoft JhengHei"/>
        <family val="0"/>
        <charset val="1"/>
      </rPr>
      <t xml:space="preserve">KD </t>
    </r>
    <r>
      <rPr>
        <sz val="10"/>
        <rFont val="Noto Sans CJK SC"/>
        <family val="2"/>
      </rPr>
      <t xml:space="preserve">超賣區</t>
    </r>
  </si>
  <si>
    <t xml:space="preserve">15 ~ 25</t>
  </si>
  <si>
    <t xml:space="preserve">低於此值視為超賣</t>
  </si>
  <si>
    <r>
      <rPr>
        <sz val="10"/>
        <rFont val="Microsoft JhengHei"/>
        <family val="0"/>
        <charset val="1"/>
      </rPr>
      <t xml:space="preserve">MACD </t>
    </r>
    <r>
      <rPr>
        <sz val="10"/>
        <rFont val="Noto Sans CJK SC"/>
        <family val="2"/>
      </rPr>
      <t xml:space="preserve">計算週期</t>
    </r>
  </si>
  <si>
    <t xml:space="preserve">12, 26, 9</t>
  </si>
  <si>
    <t xml:space="preserve">標準參數</t>
  </si>
  <si>
    <r>
      <rPr>
        <sz val="10"/>
        <rFont val="Microsoft JhengHei"/>
        <family val="0"/>
        <charset val="1"/>
      </rPr>
      <t xml:space="preserve">DIF </t>
    </r>
    <r>
      <rPr>
        <sz val="10"/>
        <rFont val="Noto Sans CJK SC"/>
        <family val="2"/>
      </rPr>
      <t xml:space="preserve">短線、</t>
    </r>
    <r>
      <rPr>
        <sz val="10"/>
        <rFont val="Microsoft JhengHei"/>
        <family val="0"/>
        <charset val="1"/>
      </rPr>
      <t xml:space="preserve">DIF </t>
    </r>
    <r>
      <rPr>
        <sz val="10"/>
        <rFont val="Noto Sans CJK SC"/>
        <family val="2"/>
      </rPr>
      <t xml:space="preserve">長線、</t>
    </r>
    <r>
      <rPr>
        <sz val="10"/>
        <rFont val="Microsoft JhengHei"/>
        <family val="0"/>
        <charset val="1"/>
      </rPr>
      <t xml:space="preserve">MACD </t>
    </r>
    <r>
      <rPr>
        <sz val="10"/>
        <rFont val="Noto Sans CJK SC"/>
        <family val="2"/>
      </rPr>
      <t xml:space="preserve">平均</t>
    </r>
  </si>
  <si>
    <t xml:space="preserve">量爆判定倍數</t>
  </si>
  <si>
    <t xml:space="preserve">1.3 ~ 3</t>
  </si>
  <si>
    <t xml:space="preserve">當日量 / 5 日均量 &gt; 此值視為爆量</t>
  </si>
  <si>
    <t xml:space="preserve">突破前高天數</t>
  </si>
  <si>
    <t xml:space="preserve">20 ~ 120</t>
  </si>
  <si>
    <t xml:space="preserve">近 N 日新高判定</t>
  </si>
  <si>
    <t xml:space="preserve">量縮判定比例%</t>
  </si>
  <si>
    <t xml:space="preserve">30 ~ 70</t>
  </si>
  <si>
    <t xml:space="preserve">量能 &lt; 均量此 % 視為量縮</t>
  </si>
  <si>
    <t xml:space="preserve">外資連買天數</t>
  </si>
  <si>
    <t xml:space="preserve">判定外資持續買超的天數</t>
  </si>
  <si>
    <t xml:space="preserve">三大法人共識天數</t>
  </si>
  <si>
    <t xml:space="preserve">2 ~ 5</t>
  </si>
  <si>
    <t xml:space="preserve">三大法人同步買超連續天數</t>
  </si>
  <si>
    <t xml:space="preserve">投信買超佔比%</t>
  </si>
  <si>
    <t xml:space="preserve">5 ~ 20</t>
  </si>
  <si>
    <t xml:space="preserve">投信單日買超 / 成交量</t>
  </si>
  <si>
    <t xml:space="preserve">大戶持股觀察週數</t>
  </si>
  <si>
    <t xml:space="preserve">2 ~ 8</t>
  </si>
  <si>
    <t xml:space="preserve">千張大戶連續上升週數</t>
  </si>
  <si>
    <t xml:space="preserve">主力分點集中度%</t>
  </si>
  <si>
    <t xml:space="preserve">50 ~ 80</t>
  </si>
  <si>
    <t xml:space="preserve">前 15 大買超分點 / 當日總買超</t>
  </si>
  <si>
    <t xml:space="preserve">券資比門檻%</t>
  </si>
  <si>
    <t xml:space="preserve">20 ~ 50</t>
  </si>
  <si>
    <t xml:space="preserve">券資比超過此值視為軋空潛力</t>
  </si>
  <si>
    <t xml:space="preserve">旗面整理天數</t>
  </si>
  <si>
    <t xml:space="preserve">3 ~ 20</t>
  </si>
  <si>
    <t xml:space="preserve">旗型整理最大天數，超過易失效</t>
  </si>
  <si>
    <t xml:space="preserve">整理區間振幅%</t>
  </si>
  <si>
    <t xml:space="preserve">3 ~ 8</t>
  </si>
  <si>
    <t xml:space="preserve">高檔橫盤整理的振幅上限</t>
  </si>
  <si>
    <r>
      <rPr>
        <sz val="10"/>
        <rFont val="Microsoft JhengHei"/>
        <family val="0"/>
        <charset val="1"/>
      </rPr>
      <t xml:space="preserve">EPS </t>
    </r>
    <r>
      <rPr>
        <sz val="10"/>
        <rFont val="Noto Sans CJK SC"/>
        <family val="2"/>
      </rPr>
      <t xml:space="preserve">年增率門檻</t>
    </r>
    <r>
      <rPr>
        <sz val="10"/>
        <rFont val="Microsoft JhengHei"/>
        <family val="0"/>
        <charset val="1"/>
      </rPr>
      <t xml:space="preserve">%</t>
    </r>
  </si>
  <si>
    <r>
      <rPr>
        <sz val="10"/>
        <rFont val="Microsoft JhengHei"/>
        <family val="0"/>
        <charset val="1"/>
      </rPr>
      <t xml:space="preserve">EPS </t>
    </r>
    <r>
      <rPr>
        <sz val="10"/>
        <rFont val="Noto Sans CJK SC"/>
        <family val="2"/>
      </rPr>
      <t xml:space="preserve">連續成長判定</t>
    </r>
  </si>
  <si>
    <r>
      <rPr>
        <sz val="10"/>
        <rFont val="Microsoft JhengHei"/>
        <family val="0"/>
        <charset val="1"/>
      </rPr>
      <t xml:space="preserve">ROE </t>
    </r>
    <r>
      <rPr>
        <sz val="10"/>
        <rFont val="Noto Sans CJK SC"/>
        <family val="2"/>
      </rPr>
      <t xml:space="preserve">門檻</t>
    </r>
    <r>
      <rPr>
        <sz val="10"/>
        <rFont val="Microsoft JhengHei"/>
        <family val="0"/>
        <charset val="1"/>
      </rPr>
      <t xml:space="preserve">%</t>
    </r>
  </si>
  <si>
    <t xml:space="preserve">10 ~ 20</t>
  </si>
  <si>
    <t xml:space="preserve">高 ROE 成長股判定</t>
  </si>
  <si>
    <t xml:space="preserve">殖利率門檻%</t>
  </si>
  <si>
    <t xml:space="preserve">3 ~ 7</t>
  </si>
  <si>
    <t xml:space="preserve">高殖利率股判定</t>
  </si>
  <si>
    <t xml:space="preserve">風控</t>
  </si>
  <si>
    <t xml:space="preserve">單筆最大風險%</t>
  </si>
  <si>
    <t xml:space="preserve">0.5 ~ 2</t>
  </si>
  <si>
    <t xml:space="preserve">單筆交易最大虧損 / 總資金</t>
  </si>
  <si>
    <t xml:space="preserve">單股部位上限%</t>
  </si>
  <si>
    <t xml:space="preserve">單股最大部位 / 總資金</t>
  </si>
  <si>
    <t xml:space="preserve">單產業曝險上限%</t>
  </si>
  <si>
    <t xml:space="preserve">30 ~ 50</t>
  </si>
  <si>
    <t xml:space="preserve">同產業最大部位 / 總資金</t>
  </si>
  <si>
    <t xml:space="preserve">停損百分比%</t>
  </si>
  <si>
    <t xml:space="preserve">5 ~ 10</t>
  </si>
  <si>
    <t xml:space="preserve">固定停損百分比</t>
  </si>
  <si>
    <r>
      <rPr>
        <sz val="10"/>
        <rFont val="Microsoft JhengHei"/>
        <family val="0"/>
        <charset val="1"/>
      </rPr>
      <t xml:space="preserve">ATR </t>
    </r>
    <r>
      <rPr>
        <sz val="10"/>
        <rFont val="Noto Sans CJK SC"/>
        <family val="2"/>
      </rPr>
      <t xml:space="preserve">停損倍數</t>
    </r>
  </si>
  <si>
    <t xml:space="preserve">1.5 ~ 3</t>
  </si>
  <si>
    <t xml:space="preserve">進場價 - N × ATR(14)</t>
  </si>
  <si>
    <t xml:space="preserve">連虧停止筆數</t>
  </si>
  <si>
    <t xml:space="preserve">連虧此筆數後強制休息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</si>
</sst>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;\(0.0%\)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Noto Sans CJK SC"/>
      <family val="2"/>
      <charset val="1"/>
    </font>
    <font>
      <i val="true"/>
      <sz val="12"/>
      <color rgb="FF595959"/>
      <name val="Microsoft JhengHei"/>
      <family val="0"/>
      <charset val="1"/>
    </font>
    <font>
      <i val="true"/>
      <sz val="12"/>
      <color rgb="FF595959"/>
      <name val="Noto Sans CJK SC"/>
      <family val="2"/>
    </font>
    <font>
      <b val="true"/>
      <sz val="12"/>
      <color rgb="FF2E5C8A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Microsoft JhengHei"/>
      <family val="0"/>
      <charset val="1"/>
    </font>
    <font>
      <sz val="10"/>
      <name val="Noto Sans CJK SC"/>
      <family val="2"/>
    </font>
    <font>
      <i val="true"/>
      <sz val="10"/>
      <color rgb="FFC00000"/>
      <name val="Noto Sans CJK SC"/>
      <family val="2"/>
      <charset val="1"/>
    </font>
    <font>
      <b val="true"/>
      <sz val="10"/>
      <color rgb="FFFFFFFF"/>
      <name val="Microsoft JhengHei"/>
      <family val="0"/>
      <charset val="1"/>
    </font>
    <font>
      <b val="true"/>
      <sz val="10"/>
      <color rgb="FF000000"/>
      <name val="Microsoft JhengHei"/>
      <family val="0"/>
      <charset val="1"/>
    </font>
    <font>
      <b val="true"/>
      <sz val="16"/>
      <color rgb="FF1F3864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0"/>
      <name val="Microsoft JhengHei"/>
      <family val="0"/>
      <charset val="1"/>
    </font>
    <font>
      <i val="true"/>
      <sz val="9"/>
      <color rgb="FF595959"/>
      <name val="Noto Sans CJK SC"/>
      <family val="2"/>
      <charset val="1"/>
    </font>
    <font>
      <b val="true"/>
      <sz val="13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1"/>
      <color rgb="FFFFFFFF"/>
      <name val="Microsoft JhengHei"/>
      <family val="0"/>
      <charset val="1"/>
    </font>
    <font>
      <b val="true"/>
      <sz val="11"/>
      <color rgb="FF000000"/>
      <name val="Microsoft JhengHei"/>
      <family val="0"/>
      <charset val="1"/>
    </font>
    <font>
      <b val="true"/>
      <sz val="13"/>
      <color rgb="FF000000"/>
      <name val="Noto Sans CJK SC"/>
      <family val="2"/>
      <charset val="1"/>
    </font>
    <font>
      <b val="true"/>
      <sz val="16"/>
      <color rgb="FF1F386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Microsoft JhengHei"/>
      <family val="0"/>
      <charset val="1"/>
    </font>
    <font>
      <b val="true"/>
      <sz val="11"/>
      <color rgb="FFFFFFFF"/>
      <name val="Noto Sans CJK SC"/>
      <family val="2"/>
    </font>
    <font>
      <b val="true"/>
      <sz val="12"/>
      <color rgb="FF1F3864"/>
      <name val="Microsoft JhengHei"/>
      <family val="0"/>
      <charset val="1"/>
    </font>
    <font>
      <b val="true"/>
      <sz val="12"/>
      <color rgb="FF1F3864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0000FF"/>
      <name val="Microsoft JhengHei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2E5C8A"/>
        <bgColor rgb="FF4472C4"/>
      </patternFill>
    </fill>
    <fill>
      <patternFill patternType="solid">
        <fgColor rgb="FFF2F2F2"/>
        <bgColor rgb="FFEDEDED"/>
      </patternFill>
    </fill>
    <fill>
      <patternFill patternType="solid">
        <fgColor rgb="FFFFFFFF"/>
        <bgColor rgb="FFFFF4E6"/>
      </patternFill>
    </fill>
    <fill>
      <patternFill patternType="solid">
        <fgColor rgb="FFFFF4E6"/>
        <bgColor rgb="FFF2F2F2"/>
      </patternFill>
    </fill>
    <fill>
      <patternFill patternType="solid">
        <fgColor rgb="FFDEEBF7"/>
        <bgColor rgb="FFD9E1F2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E699"/>
      </patternFill>
    </fill>
    <fill>
      <patternFill patternType="solid">
        <fgColor rgb="FF70AD47"/>
        <bgColor rgb="FFA5A5A5"/>
      </patternFill>
    </fill>
    <fill>
      <patternFill patternType="solid">
        <fgColor rgb="FFBDD7EE"/>
        <bgColor rgb="FFB4C7E7"/>
      </patternFill>
    </fill>
    <fill>
      <patternFill patternType="solid">
        <fgColor rgb="FFFFC000"/>
        <bgColor rgb="FFFFD699"/>
      </patternFill>
    </fill>
    <fill>
      <patternFill patternType="solid">
        <fgColor rgb="FFFFD699"/>
        <bgColor rgb="FFF8CBAD"/>
      </patternFill>
    </fill>
    <fill>
      <patternFill patternType="solid">
        <fgColor rgb="FFFFF2CC"/>
        <bgColor rgb="FFFFF4E6"/>
      </patternFill>
    </fill>
    <fill>
      <patternFill patternType="solid">
        <fgColor rgb="FFFFC7CE"/>
        <bgColor rgb="FFF4CCCC"/>
      </patternFill>
    </fill>
    <fill>
      <patternFill patternType="solid">
        <fgColor rgb="FFE2EFDA"/>
        <bgColor rgb="FFE7E6E6"/>
      </patternFill>
    </fill>
    <fill>
      <patternFill patternType="solid">
        <fgColor rgb="FFED7D31"/>
        <bgColor rgb="FFF4A6A6"/>
      </patternFill>
    </fill>
    <fill>
      <patternFill patternType="solid">
        <fgColor rgb="FFFCE4D6"/>
        <bgColor rgb="FFFFF2CC"/>
      </patternFill>
    </fill>
    <fill>
      <patternFill patternType="solid">
        <fgColor rgb="FFA5A5A5"/>
        <bgColor rgb="FFBFBFBF"/>
      </patternFill>
    </fill>
    <fill>
      <patternFill patternType="solid">
        <fgColor rgb="FFEDEDED"/>
        <bgColor rgb="FFF2F2F2"/>
      </patternFill>
    </fill>
    <fill>
      <patternFill patternType="solid">
        <fgColor rgb="FFFFE699"/>
        <bgColor rgb="FFFFEB9C"/>
      </patternFill>
    </fill>
    <fill>
      <patternFill patternType="solid">
        <fgColor rgb="FFD9E1F2"/>
        <bgColor rgb="FFDEEBF7"/>
      </patternFill>
    </fill>
    <fill>
      <patternFill patternType="solid">
        <fgColor rgb="FFF4CCCC"/>
        <bgColor rgb="FFFFC7CE"/>
      </patternFill>
    </fill>
    <fill>
      <patternFill patternType="solid">
        <fgColor rgb="FFD9D2E9"/>
        <bgColor rgb="FFD9E1F2"/>
      </patternFill>
    </fill>
    <fill>
      <patternFill patternType="solid">
        <fgColor rgb="FF9DE0AD"/>
        <bgColor rgb="FFC6E0B4"/>
      </patternFill>
    </fill>
    <fill>
      <patternFill patternType="solid">
        <fgColor rgb="FF4472C4"/>
        <bgColor rgb="FF2E5C8A"/>
      </patternFill>
    </fill>
    <fill>
      <patternFill patternType="solid">
        <fgColor rgb="FFF4A6A6"/>
        <bgColor rgb="FFF8CBAD"/>
      </patternFill>
    </fill>
    <fill>
      <patternFill patternType="solid">
        <fgColor rgb="FFC00000"/>
        <bgColor rgb="FF800000"/>
      </patternFill>
    </fill>
    <fill>
      <patternFill patternType="solid">
        <fgColor rgb="FFC6E0B4"/>
        <bgColor rgb="FFC6EFCE"/>
      </patternFill>
    </fill>
    <fill>
      <patternFill patternType="solid">
        <fgColor rgb="FFB4C7E7"/>
        <bgColor rgb="FFBDD7EE"/>
      </patternFill>
    </fill>
    <fill>
      <patternFill patternType="solid">
        <fgColor rgb="FFF8CBAD"/>
        <bgColor rgb="FFF4CCCC"/>
      </patternFill>
    </fill>
    <fill>
      <patternFill patternType="solid">
        <fgColor rgb="FFE7E6E6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3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3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D699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EDEDED"/>
      <rgbColor rgb="FF800000"/>
      <rgbColor rgb="FF008000"/>
      <rgbColor rgb="FF000080"/>
      <rgbColor rgb="FFFCE4D6"/>
      <rgbColor rgb="FF800080"/>
      <rgbColor rgb="FF008080"/>
      <rgbColor rgb="FFBFBFBF"/>
      <rgbColor rgb="FFE7E6E6"/>
      <rgbColor rgb="FFBDD7EE"/>
      <rgbColor rgb="FF993366"/>
      <rgbColor rgb="FFFFF2CC"/>
      <rgbColor rgb="FFDEEBF7"/>
      <rgbColor rgb="FF660066"/>
      <rgbColor rgb="FFF8CBAD"/>
      <rgbColor rgb="FF0066CC"/>
      <rgbColor rgb="FFD9D2E9"/>
      <rgbColor rgb="FF000080"/>
      <rgbColor rgb="FFFF00FF"/>
      <rgbColor rgb="FFC6E0B4"/>
      <rgbColor rgb="FFF2F2F2"/>
      <rgbColor rgb="FF800080"/>
      <rgbColor rgb="FF800000"/>
      <rgbColor rgb="FF008080"/>
      <rgbColor rgb="FF0000FF"/>
      <rgbColor rgb="FFFFF4E6"/>
      <rgbColor rgb="FFE2EFDA"/>
      <rgbColor rgb="FFC6EFCE"/>
      <rgbColor rgb="FFFFEB9C"/>
      <rgbColor rgb="FFB4C7E7"/>
      <rgbColor rgb="FFF4A6A6"/>
      <rgbColor rgb="FFFFC7CE"/>
      <rgbColor rgb="FFFFD699"/>
      <rgbColor rgb="FF4472C4"/>
      <rgbColor rgb="FFD9E1F2"/>
      <rgbColor rgb="FF9DE0AD"/>
      <rgbColor rgb="FFFFC000"/>
      <rgbColor rgb="FFF4CCCC"/>
      <rgbColor rgb="FFED7D31"/>
      <rgbColor rgb="FF595959"/>
      <rgbColor rgb="FFA5A5A5"/>
      <rgbColor rgb="FF1F3864"/>
      <rgbColor rgb="FF70AD47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5"/>
    <col collapsed="false" customWidth="true" hidden="false" outlineLevel="0" max="3" min="3" style="1" width="40"/>
  </cols>
  <sheetData>
    <row r="1" customFormat="false" ht="32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</row>
    <row r="5" customFormat="false" ht="16.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6</v>
      </c>
      <c r="B6" s="7" t="s">
        <v>7</v>
      </c>
      <c r="C6" s="6" t="s">
        <v>8</v>
      </c>
    </row>
    <row r="7" customFormat="false" ht="15" hidden="false" customHeight="true" outlineLevel="0" collapsed="false">
      <c r="A7" s="8" t="s">
        <v>9</v>
      </c>
      <c r="B7" s="8" t="s">
        <v>10</v>
      </c>
      <c r="C7" s="8" t="s">
        <v>11</v>
      </c>
    </row>
    <row r="8" customFormat="false" ht="15" hidden="false" customHeight="true" outlineLevel="0" collapsed="false">
      <c r="A8" s="6" t="s">
        <v>12</v>
      </c>
      <c r="B8" s="6" t="s">
        <v>13</v>
      </c>
      <c r="C8" s="6" t="s">
        <v>14</v>
      </c>
    </row>
    <row r="9" customFormat="false" ht="15" hidden="false" customHeight="true" outlineLevel="0" collapsed="false">
      <c r="A9" s="8" t="s">
        <v>15</v>
      </c>
      <c r="B9" s="8" t="s">
        <v>16</v>
      </c>
      <c r="C9" s="8" t="s">
        <v>17</v>
      </c>
    </row>
    <row r="10" customFormat="false" ht="15" hidden="false" customHeight="true" outlineLevel="0" collapsed="false">
      <c r="A10" s="6" t="s">
        <v>18</v>
      </c>
      <c r="B10" s="6" t="s">
        <v>19</v>
      </c>
      <c r="C10" s="6" t="s">
        <v>20</v>
      </c>
    </row>
    <row r="11" customFormat="false" ht="15" hidden="false" customHeight="true" outlineLevel="0" collapsed="false">
      <c r="A11" s="9" t="s">
        <v>21</v>
      </c>
      <c r="B11" s="10" t="s">
        <v>22</v>
      </c>
      <c r="C11" s="11" t="s">
        <v>23</v>
      </c>
    </row>
    <row r="12" customFormat="false" ht="29.85" hidden="false" customHeight="false" outlineLevel="0" collapsed="false">
      <c r="A12" s="12" t="s">
        <v>24</v>
      </c>
      <c r="B12" s="10" t="s">
        <v>25</v>
      </c>
      <c r="C12" s="13" t="s">
        <v>26</v>
      </c>
    </row>
    <row r="13" customFormat="false" ht="29.85" hidden="false" customHeight="false" outlineLevel="0" collapsed="false">
      <c r="A13" s="12" t="s">
        <v>27</v>
      </c>
      <c r="B13" s="13" t="s">
        <v>28</v>
      </c>
      <c r="C13" s="13" t="s">
        <v>29</v>
      </c>
    </row>
    <row r="14" customFormat="false" ht="15" hidden="false" customHeight="true" outlineLevel="0" collapsed="false">
      <c r="A14" s="4" t="s">
        <v>30</v>
      </c>
    </row>
    <row r="15" customFormat="false" ht="16.5" hidden="false" customHeight="true" outlineLevel="0" collapsed="false">
      <c r="A15" s="5" t="s">
        <v>31</v>
      </c>
      <c r="B15" s="5" t="s">
        <v>32</v>
      </c>
    </row>
    <row r="16" customFormat="false" ht="15" hidden="false" customHeight="true" outlineLevel="0" collapsed="false">
      <c r="A16" s="14" t="s">
        <v>33</v>
      </c>
      <c r="B16" s="14" t="s">
        <v>34</v>
      </c>
    </row>
    <row r="17" customFormat="false" ht="15" hidden="false" customHeight="true" outlineLevel="0" collapsed="false">
      <c r="A17" s="14" t="s">
        <v>35</v>
      </c>
      <c r="B17" s="14" t="s">
        <v>36</v>
      </c>
    </row>
    <row r="18" customFormat="false" ht="15" hidden="false" customHeight="true" outlineLevel="0" collapsed="false">
      <c r="A18" s="14" t="s">
        <v>37</v>
      </c>
      <c r="B18" s="14" t="s">
        <v>38</v>
      </c>
    </row>
    <row r="19" customFormat="false" ht="15" hidden="false" customHeight="true" outlineLevel="0" collapsed="false">
      <c r="A19" s="14" t="s">
        <v>39</v>
      </c>
      <c r="B19" s="14" t="s">
        <v>40</v>
      </c>
    </row>
    <row r="20" customFormat="false" ht="15" hidden="false" customHeight="true" outlineLevel="0" collapsed="false">
      <c r="A20" s="14" t="s">
        <v>41</v>
      </c>
      <c r="B20" s="14" t="s">
        <v>42</v>
      </c>
    </row>
    <row r="23" customFormat="false" ht="15" hidden="false" customHeight="true" outlineLevel="0" collapsed="false">
      <c r="A23" s="4" t="s">
        <v>43</v>
      </c>
    </row>
    <row r="24" customFormat="false" ht="15" hidden="false" customHeight="true" outlineLevel="0" collapsed="false">
      <c r="A24" s="15" t="s">
        <v>44</v>
      </c>
      <c r="B24" s="15"/>
      <c r="C24" s="15"/>
      <c r="D24" s="15"/>
      <c r="E24" s="15"/>
      <c r="F24" s="15"/>
    </row>
    <row r="25" customFormat="false" ht="15" hidden="false" customHeight="true" outlineLevel="0" collapsed="false">
      <c r="A25" s="15" t="s">
        <v>45</v>
      </c>
      <c r="B25" s="15"/>
      <c r="C25" s="15"/>
      <c r="D25" s="15"/>
      <c r="E25" s="15"/>
      <c r="F25" s="15"/>
    </row>
    <row r="26" customFormat="false" ht="15" hidden="false" customHeight="true" outlineLevel="0" collapsed="false">
      <c r="A26" s="15" t="s">
        <v>46</v>
      </c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5" t="s">
        <v>47</v>
      </c>
      <c r="B27" s="15"/>
      <c r="C27" s="15"/>
      <c r="D27" s="15"/>
      <c r="E27" s="15"/>
      <c r="F27" s="15"/>
    </row>
    <row r="28" customFormat="false" ht="15" hidden="false" customHeight="true" outlineLevel="0" collapsed="false">
      <c r="A28" s="15" t="s">
        <v>48</v>
      </c>
      <c r="B28" s="15"/>
      <c r="C28" s="15"/>
      <c r="D28" s="15"/>
      <c r="E28" s="15"/>
      <c r="F28" s="15"/>
    </row>
    <row r="29" customFormat="false" ht="15" hidden="false" customHeight="true" outlineLevel="0" collapsed="false">
      <c r="A29" s="15" t="s">
        <v>49</v>
      </c>
      <c r="B29" s="15"/>
      <c r="C29" s="15"/>
      <c r="D29" s="15"/>
      <c r="E29" s="15"/>
      <c r="F29" s="15"/>
    </row>
    <row r="31" customFormat="false" ht="15" hidden="false" customHeight="true" outlineLevel="0" collapsed="false">
      <c r="A31" s="16" t="s">
        <v>50</v>
      </c>
      <c r="B31" s="16"/>
      <c r="C31" s="16"/>
      <c r="D31" s="16"/>
      <c r="E31" s="16"/>
      <c r="F31" s="16"/>
    </row>
  </sheetData>
  <mergeCells count="9">
    <mergeCell ref="A1:F1"/>
    <mergeCell ref="A2:F2"/>
    <mergeCell ref="A24:F24"/>
    <mergeCell ref="A25:F25"/>
    <mergeCell ref="A26:F26"/>
    <mergeCell ref="A27:F27"/>
    <mergeCell ref="A28:F28"/>
    <mergeCell ref="A29:F29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50"/>
    <col collapsed="false" customWidth="true" hidden="false" outlineLevel="0" max="5" min="5" style="1" width="3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42"/>
  </cols>
  <sheetData>
    <row r="1" customFormat="false" ht="27.75" hidden="false" customHeight="true" outlineLevel="0" collapsed="false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</row>
    <row r="2" customFormat="false" ht="37.5" hidden="false" customHeight="true" outlineLevel="0" collapsed="false">
      <c r="A2" s="17" t="n">
        <v>1</v>
      </c>
      <c r="B2" s="18" t="s">
        <v>63</v>
      </c>
      <c r="C2" s="19" t="s">
        <v>64</v>
      </c>
      <c r="D2" s="20" t="s">
        <v>65</v>
      </c>
      <c r="E2" s="19" t="s">
        <v>66</v>
      </c>
      <c r="F2" s="21" t="s">
        <v>67</v>
      </c>
      <c r="G2" s="22" t="s">
        <v>68</v>
      </c>
      <c r="H2" s="23" t="s">
        <v>69</v>
      </c>
      <c r="I2" s="21" t="s">
        <v>70</v>
      </c>
      <c r="J2" s="21" t="s">
        <v>71</v>
      </c>
      <c r="K2" s="24" t="s">
        <v>72</v>
      </c>
      <c r="L2" s="19" t="s">
        <v>73</v>
      </c>
    </row>
    <row r="3" customFormat="false" ht="37.5" hidden="false" customHeight="true" outlineLevel="0" collapsed="false">
      <c r="A3" s="22" t="n">
        <v>2</v>
      </c>
      <c r="B3" s="18" t="s">
        <v>63</v>
      </c>
      <c r="C3" s="19" t="s">
        <v>74</v>
      </c>
      <c r="D3" s="19" t="s">
        <v>75</v>
      </c>
      <c r="E3" s="19" t="s">
        <v>76</v>
      </c>
      <c r="F3" s="21" t="s">
        <v>67</v>
      </c>
      <c r="G3" s="22" t="s">
        <v>68</v>
      </c>
      <c r="H3" s="23" t="s">
        <v>69</v>
      </c>
      <c r="I3" s="21" t="s">
        <v>70</v>
      </c>
      <c r="J3" s="21" t="s">
        <v>71</v>
      </c>
      <c r="K3" s="24" t="s">
        <v>72</v>
      </c>
      <c r="L3" s="19" t="s">
        <v>77</v>
      </c>
    </row>
    <row r="4" customFormat="false" ht="37.5" hidden="false" customHeight="true" outlineLevel="0" collapsed="false">
      <c r="A4" s="22" t="n">
        <v>3</v>
      </c>
      <c r="B4" s="18" t="s">
        <v>63</v>
      </c>
      <c r="C4" s="19" t="s">
        <v>78</v>
      </c>
      <c r="D4" s="20" t="s">
        <v>79</v>
      </c>
      <c r="E4" s="19" t="s">
        <v>80</v>
      </c>
      <c r="F4" s="25" t="s">
        <v>81</v>
      </c>
      <c r="G4" s="22" t="s">
        <v>82</v>
      </c>
      <c r="H4" s="23" t="s">
        <v>69</v>
      </c>
      <c r="I4" s="21" t="s">
        <v>70</v>
      </c>
      <c r="J4" s="21" t="s">
        <v>71</v>
      </c>
      <c r="K4" s="24" t="s">
        <v>72</v>
      </c>
      <c r="L4" s="20" t="s">
        <v>83</v>
      </c>
    </row>
    <row r="5" customFormat="false" ht="37.5" hidden="false" customHeight="true" outlineLevel="0" collapsed="false">
      <c r="A5" s="22" t="n">
        <v>4</v>
      </c>
      <c r="B5" s="18" t="s">
        <v>63</v>
      </c>
      <c r="C5" s="20" t="s">
        <v>84</v>
      </c>
      <c r="D5" s="20" t="s">
        <v>85</v>
      </c>
      <c r="E5" s="19" t="s">
        <v>86</v>
      </c>
      <c r="F5" s="21" t="s">
        <v>67</v>
      </c>
      <c r="G5" s="22" t="s">
        <v>87</v>
      </c>
      <c r="H5" s="23" t="s">
        <v>69</v>
      </c>
      <c r="I5" s="21" t="s">
        <v>70</v>
      </c>
      <c r="J5" s="21" t="s">
        <v>71</v>
      </c>
      <c r="K5" s="24" t="s">
        <v>72</v>
      </c>
      <c r="L5" s="20" t="s">
        <v>88</v>
      </c>
    </row>
    <row r="6" customFormat="false" ht="37.5" hidden="false" customHeight="true" outlineLevel="0" collapsed="false">
      <c r="A6" s="22" t="n">
        <v>5</v>
      </c>
      <c r="B6" s="18" t="s">
        <v>63</v>
      </c>
      <c r="C6" s="19" t="s">
        <v>89</v>
      </c>
      <c r="D6" s="19" t="s">
        <v>90</v>
      </c>
      <c r="E6" s="19" t="s">
        <v>91</v>
      </c>
      <c r="F6" s="23" t="s">
        <v>92</v>
      </c>
      <c r="G6" s="22" t="s">
        <v>87</v>
      </c>
      <c r="H6" s="23" t="s">
        <v>69</v>
      </c>
      <c r="I6" s="21" t="s">
        <v>70</v>
      </c>
      <c r="J6" s="21" t="s">
        <v>71</v>
      </c>
      <c r="K6" s="26" t="s">
        <v>93</v>
      </c>
      <c r="L6" s="19" t="s">
        <v>94</v>
      </c>
    </row>
    <row r="7" customFormat="false" ht="37.5" hidden="false" customHeight="true" outlineLevel="0" collapsed="false">
      <c r="A7" s="22" t="n">
        <v>6</v>
      </c>
      <c r="B7" s="18" t="s">
        <v>63</v>
      </c>
      <c r="C7" s="19" t="s">
        <v>95</v>
      </c>
      <c r="D7" s="19" t="s">
        <v>96</v>
      </c>
      <c r="E7" s="19" t="s">
        <v>97</v>
      </c>
      <c r="F7" s="21" t="s">
        <v>67</v>
      </c>
      <c r="G7" s="22" t="s">
        <v>68</v>
      </c>
      <c r="H7" s="23" t="s">
        <v>69</v>
      </c>
      <c r="I7" s="23" t="s">
        <v>69</v>
      </c>
      <c r="J7" s="21" t="s">
        <v>71</v>
      </c>
      <c r="K7" s="26" t="s">
        <v>93</v>
      </c>
      <c r="L7" s="19" t="s">
        <v>98</v>
      </c>
    </row>
    <row r="8" customFormat="false" ht="37.5" hidden="false" customHeight="true" outlineLevel="0" collapsed="false">
      <c r="A8" s="22" t="n">
        <v>7</v>
      </c>
      <c r="B8" s="18" t="s">
        <v>63</v>
      </c>
      <c r="C8" s="19" t="s">
        <v>99</v>
      </c>
      <c r="D8" s="19" t="s">
        <v>100</v>
      </c>
      <c r="E8" s="19" t="s">
        <v>101</v>
      </c>
      <c r="F8" s="21" t="s">
        <v>67</v>
      </c>
      <c r="G8" s="22" t="s">
        <v>87</v>
      </c>
      <c r="H8" s="27" t="s">
        <v>102</v>
      </c>
      <c r="I8" s="21" t="s">
        <v>70</v>
      </c>
      <c r="J8" s="21" t="s">
        <v>71</v>
      </c>
      <c r="K8" s="26" t="s">
        <v>93</v>
      </c>
      <c r="L8" s="19" t="s">
        <v>103</v>
      </c>
    </row>
    <row r="9" customFormat="false" ht="37.5" hidden="false" customHeight="true" outlineLevel="0" collapsed="false">
      <c r="A9" s="22" t="n">
        <v>8</v>
      </c>
      <c r="B9" s="18" t="s">
        <v>63</v>
      </c>
      <c r="C9" s="19" t="s">
        <v>104</v>
      </c>
      <c r="D9" s="20" t="s">
        <v>105</v>
      </c>
      <c r="E9" s="19" t="s">
        <v>106</v>
      </c>
      <c r="F9" s="23" t="s">
        <v>92</v>
      </c>
      <c r="G9" s="22" t="s">
        <v>87</v>
      </c>
      <c r="H9" s="23" t="s">
        <v>69</v>
      </c>
      <c r="I9" s="23" t="s">
        <v>69</v>
      </c>
      <c r="J9" s="21" t="s">
        <v>71</v>
      </c>
      <c r="K9" s="26" t="s">
        <v>93</v>
      </c>
      <c r="L9" s="19" t="s">
        <v>107</v>
      </c>
    </row>
    <row r="10" customFormat="false" ht="37.5" hidden="false" customHeight="true" outlineLevel="0" collapsed="false">
      <c r="A10" s="22" t="n">
        <v>9</v>
      </c>
      <c r="B10" s="28" t="s">
        <v>108</v>
      </c>
      <c r="C10" s="19" t="s">
        <v>109</v>
      </c>
      <c r="D10" s="19" t="s">
        <v>110</v>
      </c>
      <c r="E10" s="19" t="s">
        <v>111</v>
      </c>
      <c r="F10" s="21" t="s">
        <v>67</v>
      </c>
      <c r="G10" s="22" t="s">
        <v>68</v>
      </c>
      <c r="H10" s="23" t="s">
        <v>69</v>
      </c>
      <c r="I10" s="21" t="s">
        <v>70</v>
      </c>
      <c r="J10" s="21" t="s">
        <v>71</v>
      </c>
      <c r="K10" s="24" t="s">
        <v>72</v>
      </c>
      <c r="L10" s="19" t="s">
        <v>112</v>
      </c>
    </row>
    <row r="11" customFormat="false" ht="37.5" hidden="false" customHeight="true" outlineLevel="0" collapsed="false">
      <c r="A11" s="22" t="n">
        <v>10</v>
      </c>
      <c r="B11" s="28" t="s">
        <v>108</v>
      </c>
      <c r="C11" s="19" t="s">
        <v>113</v>
      </c>
      <c r="D11" s="19" t="s">
        <v>114</v>
      </c>
      <c r="E11" s="19" t="s">
        <v>115</v>
      </c>
      <c r="F11" s="25" t="s">
        <v>81</v>
      </c>
      <c r="G11" s="22" t="s">
        <v>68</v>
      </c>
      <c r="H11" s="23" t="s">
        <v>69</v>
      </c>
      <c r="I11" s="21" t="s">
        <v>70</v>
      </c>
      <c r="J11" s="21" t="s">
        <v>71</v>
      </c>
      <c r="K11" s="26" t="s">
        <v>93</v>
      </c>
      <c r="L11" s="19" t="s">
        <v>116</v>
      </c>
    </row>
    <row r="12" customFormat="false" ht="37.5" hidden="false" customHeight="true" outlineLevel="0" collapsed="false">
      <c r="A12" s="22" t="n">
        <v>11</v>
      </c>
      <c r="B12" s="28" t="s">
        <v>108</v>
      </c>
      <c r="C12" s="19" t="s">
        <v>117</v>
      </c>
      <c r="D12" s="19" t="s">
        <v>118</v>
      </c>
      <c r="E12" s="19" t="s">
        <v>119</v>
      </c>
      <c r="F12" s="29" t="s">
        <v>120</v>
      </c>
      <c r="G12" s="22" t="s">
        <v>87</v>
      </c>
      <c r="H12" s="27" t="s">
        <v>102</v>
      </c>
      <c r="I12" s="21" t="s">
        <v>70</v>
      </c>
      <c r="J12" s="21" t="s">
        <v>71</v>
      </c>
      <c r="K12" s="26" t="s">
        <v>93</v>
      </c>
      <c r="L12" s="19" t="s">
        <v>121</v>
      </c>
    </row>
    <row r="13" customFormat="false" ht="37.5" hidden="false" customHeight="true" outlineLevel="0" collapsed="false">
      <c r="A13" s="22" t="n">
        <v>12</v>
      </c>
      <c r="B13" s="28" t="s">
        <v>108</v>
      </c>
      <c r="C13" s="19" t="s">
        <v>122</v>
      </c>
      <c r="D13" s="20" t="s">
        <v>123</v>
      </c>
      <c r="E13" s="19" t="s">
        <v>124</v>
      </c>
      <c r="F13" s="21" t="s">
        <v>67</v>
      </c>
      <c r="G13" s="22" t="s">
        <v>68</v>
      </c>
      <c r="H13" s="23" t="s">
        <v>69</v>
      </c>
      <c r="I13" s="21" t="s">
        <v>70</v>
      </c>
      <c r="J13" s="21" t="s">
        <v>71</v>
      </c>
      <c r="K13" s="26" t="s">
        <v>93</v>
      </c>
      <c r="L13" s="19" t="s">
        <v>125</v>
      </c>
    </row>
    <row r="14" customFormat="false" ht="37.5" hidden="false" customHeight="true" outlineLevel="0" collapsed="false">
      <c r="A14" s="22" t="n">
        <v>13</v>
      </c>
      <c r="B14" s="30" t="s">
        <v>126</v>
      </c>
      <c r="C14" s="19" t="s">
        <v>127</v>
      </c>
      <c r="D14" s="19" t="s">
        <v>128</v>
      </c>
      <c r="E14" s="19" t="s">
        <v>129</v>
      </c>
      <c r="F14" s="25" t="s">
        <v>81</v>
      </c>
      <c r="G14" s="22" t="s">
        <v>68</v>
      </c>
      <c r="H14" s="23" t="s">
        <v>69</v>
      </c>
      <c r="I14" s="21" t="s">
        <v>70</v>
      </c>
      <c r="J14" s="21" t="s">
        <v>71</v>
      </c>
      <c r="K14" s="24" t="s">
        <v>72</v>
      </c>
      <c r="L14" s="20" t="s">
        <v>130</v>
      </c>
    </row>
    <row r="15" customFormat="false" ht="37.5" hidden="false" customHeight="true" outlineLevel="0" collapsed="false">
      <c r="A15" s="22" t="n">
        <v>14</v>
      </c>
      <c r="B15" s="30" t="s">
        <v>126</v>
      </c>
      <c r="C15" s="19" t="s">
        <v>131</v>
      </c>
      <c r="D15" s="19" t="s">
        <v>132</v>
      </c>
      <c r="E15" s="19" t="s">
        <v>133</v>
      </c>
      <c r="F15" s="21" t="s">
        <v>67</v>
      </c>
      <c r="G15" s="22" t="s">
        <v>87</v>
      </c>
      <c r="H15" s="23" t="s">
        <v>69</v>
      </c>
      <c r="I15" s="21" t="s">
        <v>70</v>
      </c>
      <c r="J15" s="21" t="s">
        <v>71</v>
      </c>
      <c r="K15" s="24" t="s">
        <v>72</v>
      </c>
      <c r="L15" s="19" t="s">
        <v>134</v>
      </c>
    </row>
    <row r="16" customFormat="false" ht="37.5" hidden="false" customHeight="true" outlineLevel="0" collapsed="false">
      <c r="A16" s="22" t="n">
        <v>15</v>
      </c>
      <c r="B16" s="30" t="s">
        <v>126</v>
      </c>
      <c r="C16" s="19" t="s">
        <v>135</v>
      </c>
      <c r="D16" s="19" t="s">
        <v>136</v>
      </c>
      <c r="E16" s="19" t="s">
        <v>137</v>
      </c>
      <c r="F16" s="25" t="s">
        <v>81</v>
      </c>
      <c r="G16" s="22" t="s">
        <v>68</v>
      </c>
      <c r="H16" s="23" t="s">
        <v>69</v>
      </c>
      <c r="I16" s="21" t="s">
        <v>70</v>
      </c>
      <c r="J16" s="21" t="s">
        <v>71</v>
      </c>
      <c r="K16" s="26" t="s">
        <v>93</v>
      </c>
      <c r="L16" s="19" t="s">
        <v>138</v>
      </c>
    </row>
    <row r="17" customFormat="false" ht="37.5" hidden="false" customHeight="true" outlineLevel="0" collapsed="false">
      <c r="A17" s="22" t="n">
        <v>16</v>
      </c>
      <c r="B17" s="30" t="s">
        <v>126</v>
      </c>
      <c r="C17" s="19" t="s">
        <v>139</v>
      </c>
      <c r="D17" s="19" t="s">
        <v>140</v>
      </c>
      <c r="E17" s="19" t="s">
        <v>141</v>
      </c>
      <c r="F17" s="29" t="s">
        <v>120</v>
      </c>
      <c r="G17" s="22" t="s">
        <v>68</v>
      </c>
      <c r="H17" s="27" t="s">
        <v>102</v>
      </c>
      <c r="I17" s="21" t="s">
        <v>70</v>
      </c>
      <c r="J17" s="21" t="s">
        <v>71</v>
      </c>
      <c r="K17" s="24" t="s">
        <v>72</v>
      </c>
      <c r="L17" s="19" t="s">
        <v>142</v>
      </c>
    </row>
    <row r="18" customFormat="false" ht="37.5" hidden="false" customHeight="true" outlineLevel="0" collapsed="false">
      <c r="A18" s="22" t="n">
        <v>17</v>
      </c>
      <c r="B18" s="30" t="s">
        <v>126</v>
      </c>
      <c r="C18" s="19" t="s">
        <v>143</v>
      </c>
      <c r="D18" s="19" t="s">
        <v>144</v>
      </c>
      <c r="E18" s="19" t="s">
        <v>145</v>
      </c>
      <c r="F18" s="25" t="s">
        <v>81</v>
      </c>
      <c r="G18" s="22" t="s">
        <v>146</v>
      </c>
      <c r="H18" s="23" t="s">
        <v>69</v>
      </c>
      <c r="I18" s="23" t="s">
        <v>69</v>
      </c>
      <c r="J18" s="23" t="s">
        <v>69</v>
      </c>
      <c r="K18" s="31" t="s">
        <v>147</v>
      </c>
      <c r="L18" s="19" t="s">
        <v>148</v>
      </c>
    </row>
    <row r="19" customFormat="false" ht="37.5" hidden="false" customHeight="true" outlineLevel="0" collapsed="false">
      <c r="A19" s="22" t="n">
        <v>18</v>
      </c>
      <c r="B19" s="30" t="s">
        <v>126</v>
      </c>
      <c r="C19" s="19" t="s">
        <v>149</v>
      </c>
      <c r="D19" s="19" t="s">
        <v>150</v>
      </c>
      <c r="E19" s="19" t="s">
        <v>151</v>
      </c>
      <c r="F19" s="25" t="s">
        <v>81</v>
      </c>
      <c r="G19" s="22" t="s">
        <v>68</v>
      </c>
      <c r="H19" s="23" t="s">
        <v>69</v>
      </c>
      <c r="I19" s="21" t="s">
        <v>70</v>
      </c>
      <c r="J19" s="29" t="s">
        <v>152</v>
      </c>
      <c r="K19" s="31" t="s">
        <v>147</v>
      </c>
      <c r="L19" s="19" t="s">
        <v>153</v>
      </c>
    </row>
    <row r="20" customFormat="false" ht="37.5" hidden="false" customHeight="true" outlineLevel="0" collapsed="false">
      <c r="A20" s="22" t="n">
        <v>19</v>
      </c>
      <c r="B20" s="30" t="s">
        <v>126</v>
      </c>
      <c r="C20" s="19" t="s">
        <v>154</v>
      </c>
      <c r="D20" s="19" t="s">
        <v>155</v>
      </c>
      <c r="E20" s="19" t="s">
        <v>156</v>
      </c>
      <c r="F20" s="25" t="s">
        <v>81</v>
      </c>
      <c r="G20" s="22" t="s">
        <v>87</v>
      </c>
      <c r="H20" s="27" t="s">
        <v>102</v>
      </c>
      <c r="I20" s="21" t="s">
        <v>70</v>
      </c>
      <c r="J20" s="29" t="s">
        <v>152</v>
      </c>
      <c r="K20" s="31" t="s">
        <v>147</v>
      </c>
      <c r="L20" s="19" t="s">
        <v>157</v>
      </c>
    </row>
    <row r="21" customFormat="false" ht="37.5" hidden="false" customHeight="true" outlineLevel="0" collapsed="false">
      <c r="A21" s="22" t="n">
        <v>20</v>
      </c>
      <c r="B21" s="30" t="s">
        <v>126</v>
      </c>
      <c r="C21" s="19" t="s">
        <v>158</v>
      </c>
      <c r="D21" s="19" t="s">
        <v>159</v>
      </c>
      <c r="E21" s="19" t="s">
        <v>160</v>
      </c>
      <c r="F21" s="21" t="s">
        <v>67</v>
      </c>
      <c r="G21" s="22" t="s">
        <v>87</v>
      </c>
      <c r="H21" s="29" t="s">
        <v>70</v>
      </c>
      <c r="I21" s="21" t="s">
        <v>70</v>
      </c>
      <c r="J21" s="21" t="s">
        <v>71</v>
      </c>
      <c r="K21" s="26" t="s">
        <v>93</v>
      </c>
      <c r="L21" s="19" t="s">
        <v>161</v>
      </c>
    </row>
    <row r="22" customFormat="false" ht="37.5" hidden="false" customHeight="true" outlineLevel="0" collapsed="false">
      <c r="A22" s="22" t="n">
        <v>21</v>
      </c>
      <c r="B22" s="30" t="s">
        <v>126</v>
      </c>
      <c r="C22" s="19" t="s">
        <v>162</v>
      </c>
      <c r="D22" s="19" t="s">
        <v>163</v>
      </c>
      <c r="E22" s="19" t="s">
        <v>164</v>
      </c>
      <c r="F22" s="21" t="s">
        <v>67</v>
      </c>
      <c r="G22" s="22" t="s">
        <v>68</v>
      </c>
      <c r="H22" s="23" t="s">
        <v>69</v>
      </c>
      <c r="I22" s="21" t="s">
        <v>70</v>
      </c>
      <c r="J22" s="21" t="s">
        <v>71</v>
      </c>
      <c r="K22" s="26" t="s">
        <v>93</v>
      </c>
      <c r="L22" s="19" t="s">
        <v>165</v>
      </c>
    </row>
    <row r="23" customFormat="false" ht="37.5" hidden="false" customHeight="true" outlineLevel="0" collapsed="false">
      <c r="A23" s="22" t="n">
        <v>22</v>
      </c>
      <c r="B23" s="32" t="s">
        <v>166</v>
      </c>
      <c r="C23" s="20" t="s">
        <v>167</v>
      </c>
      <c r="D23" s="19" t="s">
        <v>168</v>
      </c>
      <c r="E23" s="19" t="s">
        <v>169</v>
      </c>
      <c r="F23" s="29" t="s">
        <v>120</v>
      </c>
      <c r="G23" s="22" t="s">
        <v>68</v>
      </c>
      <c r="H23" s="23" t="s">
        <v>69</v>
      </c>
      <c r="I23" s="23" t="s">
        <v>69</v>
      </c>
      <c r="J23" s="21" t="s">
        <v>71</v>
      </c>
      <c r="K23" s="31" t="s">
        <v>147</v>
      </c>
      <c r="L23" s="20" t="s">
        <v>170</v>
      </c>
    </row>
    <row r="24" customFormat="false" ht="37.5" hidden="false" customHeight="true" outlineLevel="0" collapsed="false">
      <c r="A24" s="22" t="n">
        <v>23</v>
      </c>
      <c r="B24" s="32" t="s">
        <v>166</v>
      </c>
      <c r="C24" s="19" t="s">
        <v>171</v>
      </c>
      <c r="D24" s="20" t="s">
        <v>172</v>
      </c>
      <c r="E24" s="19" t="s">
        <v>173</v>
      </c>
      <c r="F24" s="21" t="s">
        <v>67</v>
      </c>
      <c r="G24" s="22" t="s">
        <v>68</v>
      </c>
      <c r="H24" s="23" t="s">
        <v>69</v>
      </c>
      <c r="I24" s="27" t="s">
        <v>174</v>
      </c>
      <c r="J24" s="21" t="s">
        <v>71</v>
      </c>
      <c r="K24" s="33" t="s">
        <v>175</v>
      </c>
      <c r="L24" s="19" t="s">
        <v>176</v>
      </c>
    </row>
    <row r="25" customFormat="false" ht="37.5" hidden="false" customHeight="true" outlineLevel="0" collapsed="false">
      <c r="A25" s="22" t="n">
        <v>24</v>
      </c>
      <c r="B25" s="32" t="s">
        <v>166</v>
      </c>
      <c r="C25" s="19" t="s">
        <v>177</v>
      </c>
      <c r="D25" s="19" t="s">
        <v>178</v>
      </c>
      <c r="E25" s="19" t="s">
        <v>179</v>
      </c>
      <c r="F25" s="21" t="s">
        <v>67</v>
      </c>
      <c r="G25" s="22" t="s">
        <v>87</v>
      </c>
      <c r="H25" s="23" t="s">
        <v>69</v>
      </c>
      <c r="I25" s="27" t="s">
        <v>174</v>
      </c>
      <c r="J25" s="21" t="s">
        <v>71</v>
      </c>
      <c r="K25" s="33" t="s">
        <v>175</v>
      </c>
      <c r="L25" s="19" t="s">
        <v>180</v>
      </c>
    </row>
    <row r="26" customFormat="false" ht="37.5" hidden="false" customHeight="true" outlineLevel="0" collapsed="false">
      <c r="A26" s="22" t="n">
        <v>25</v>
      </c>
      <c r="B26" s="32" t="s">
        <v>166</v>
      </c>
      <c r="C26" s="19" t="s">
        <v>181</v>
      </c>
      <c r="D26" s="19" t="s">
        <v>182</v>
      </c>
      <c r="E26" s="19" t="s">
        <v>183</v>
      </c>
      <c r="F26" s="23" t="s">
        <v>92</v>
      </c>
      <c r="G26" s="22" t="s">
        <v>87</v>
      </c>
      <c r="H26" s="23" t="s">
        <v>69</v>
      </c>
      <c r="I26" s="23" t="s">
        <v>69</v>
      </c>
      <c r="J26" s="21" t="s">
        <v>71</v>
      </c>
      <c r="K26" s="31" t="s">
        <v>147</v>
      </c>
      <c r="L26" s="19" t="s">
        <v>184</v>
      </c>
    </row>
    <row r="27" customFormat="false" ht="37.5" hidden="false" customHeight="true" outlineLevel="0" collapsed="false">
      <c r="A27" s="22" t="n">
        <v>26</v>
      </c>
      <c r="B27" s="32" t="s">
        <v>166</v>
      </c>
      <c r="C27" s="19" t="s">
        <v>185</v>
      </c>
      <c r="D27" s="19" t="s">
        <v>186</v>
      </c>
      <c r="E27" s="19" t="s">
        <v>187</v>
      </c>
      <c r="F27" s="23" t="s">
        <v>92</v>
      </c>
      <c r="G27" s="22" t="s">
        <v>87</v>
      </c>
      <c r="H27" s="23" t="s">
        <v>69</v>
      </c>
      <c r="I27" s="23" t="s">
        <v>69</v>
      </c>
      <c r="J27" s="21" t="s">
        <v>71</v>
      </c>
      <c r="K27" s="31" t="s">
        <v>147</v>
      </c>
      <c r="L27" s="19" t="s">
        <v>188</v>
      </c>
    </row>
    <row r="28" customFormat="false" ht="37.5" hidden="false" customHeight="true" outlineLevel="0" collapsed="false">
      <c r="A28" s="22" t="n">
        <v>27</v>
      </c>
      <c r="B28" s="34" t="s">
        <v>189</v>
      </c>
      <c r="C28" s="20" t="s">
        <v>190</v>
      </c>
      <c r="D28" s="19" t="s">
        <v>191</v>
      </c>
      <c r="E28" s="19" t="s">
        <v>192</v>
      </c>
      <c r="F28" s="25" t="s">
        <v>81</v>
      </c>
      <c r="G28" s="22" t="s">
        <v>146</v>
      </c>
      <c r="H28" s="21" t="s">
        <v>174</v>
      </c>
      <c r="I28" s="21" t="s">
        <v>70</v>
      </c>
      <c r="J28" s="21" t="s">
        <v>71</v>
      </c>
      <c r="K28" s="24" t="s">
        <v>72</v>
      </c>
      <c r="L28" s="20" t="s">
        <v>193</v>
      </c>
    </row>
    <row r="29" customFormat="false" ht="37.5" hidden="false" customHeight="true" outlineLevel="0" collapsed="false">
      <c r="A29" s="22" t="n">
        <v>28</v>
      </c>
      <c r="B29" s="34" t="s">
        <v>189</v>
      </c>
      <c r="C29" s="19" t="s">
        <v>194</v>
      </c>
      <c r="D29" s="19" t="s">
        <v>195</v>
      </c>
      <c r="E29" s="19" t="s">
        <v>196</v>
      </c>
      <c r="F29" s="25" t="s">
        <v>81</v>
      </c>
      <c r="G29" s="22" t="s">
        <v>146</v>
      </c>
      <c r="H29" s="21" t="s">
        <v>174</v>
      </c>
      <c r="I29" s="21" t="s">
        <v>70</v>
      </c>
      <c r="J29" s="21" t="s">
        <v>71</v>
      </c>
      <c r="K29" s="24" t="s">
        <v>72</v>
      </c>
      <c r="L29" s="19" t="s">
        <v>197</v>
      </c>
    </row>
    <row r="30" customFormat="false" ht="37.5" hidden="false" customHeight="true" outlineLevel="0" collapsed="false">
      <c r="A30" s="22" t="n">
        <v>29</v>
      </c>
      <c r="B30" s="34" t="s">
        <v>189</v>
      </c>
      <c r="C30" s="19" t="s">
        <v>198</v>
      </c>
      <c r="D30" s="19" t="s">
        <v>199</v>
      </c>
      <c r="E30" s="19" t="s">
        <v>200</v>
      </c>
      <c r="F30" s="25" t="s">
        <v>81</v>
      </c>
      <c r="G30" s="22" t="s">
        <v>201</v>
      </c>
      <c r="H30" s="21" t="s">
        <v>174</v>
      </c>
      <c r="I30" s="21" t="s">
        <v>70</v>
      </c>
      <c r="J30" s="21" t="s">
        <v>71</v>
      </c>
      <c r="K30" s="26" t="s">
        <v>93</v>
      </c>
      <c r="L30" s="20" t="s">
        <v>202</v>
      </c>
    </row>
    <row r="31" customFormat="false" ht="37.5" hidden="false" customHeight="true" outlineLevel="0" collapsed="false">
      <c r="A31" s="22" t="n">
        <v>30</v>
      </c>
      <c r="B31" s="34" t="s">
        <v>189</v>
      </c>
      <c r="C31" s="19" t="s">
        <v>203</v>
      </c>
      <c r="D31" s="19" t="s">
        <v>204</v>
      </c>
      <c r="E31" s="19" t="s">
        <v>205</v>
      </c>
      <c r="F31" s="25" t="s">
        <v>81</v>
      </c>
      <c r="G31" s="22" t="s">
        <v>146</v>
      </c>
      <c r="H31" s="23" t="s">
        <v>69</v>
      </c>
      <c r="I31" s="23" t="s">
        <v>69</v>
      </c>
      <c r="J31" s="29" t="s">
        <v>152</v>
      </c>
      <c r="K31" s="33" t="s">
        <v>175</v>
      </c>
      <c r="L31" s="19" t="s">
        <v>206</v>
      </c>
    </row>
    <row r="32" customFormat="false" ht="37.5" hidden="false" customHeight="true" outlineLevel="0" collapsed="false">
      <c r="A32" s="22" t="n">
        <v>31</v>
      </c>
      <c r="B32" s="34" t="s">
        <v>189</v>
      </c>
      <c r="C32" s="19" t="s">
        <v>207</v>
      </c>
      <c r="D32" s="19" t="s">
        <v>208</v>
      </c>
      <c r="E32" s="19" t="s">
        <v>209</v>
      </c>
      <c r="F32" s="25" t="s">
        <v>81</v>
      </c>
      <c r="G32" s="22" t="s">
        <v>201</v>
      </c>
      <c r="H32" s="21" t="s">
        <v>174</v>
      </c>
      <c r="I32" s="21" t="s">
        <v>70</v>
      </c>
      <c r="J32" s="21" t="s">
        <v>71</v>
      </c>
      <c r="K32" s="26" t="s">
        <v>93</v>
      </c>
      <c r="L32" s="19" t="s">
        <v>210</v>
      </c>
    </row>
    <row r="33" customFormat="false" ht="37.5" hidden="false" customHeight="true" outlineLevel="0" collapsed="false">
      <c r="A33" s="22" t="n">
        <v>32</v>
      </c>
      <c r="B33" s="35" t="s">
        <v>211</v>
      </c>
      <c r="C33" s="19" t="s">
        <v>212</v>
      </c>
      <c r="D33" s="19" t="s">
        <v>213</v>
      </c>
      <c r="E33" s="19" t="s">
        <v>214</v>
      </c>
      <c r="F33" s="25" t="s">
        <v>81</v>
      </c>
      <c r="G33" s="22" t="s">
        <v>82</v>
      </c>
      <c r="H33" s="27" t="s">
        <v>102</v>
      </c>
      <c r="I33" s="27" t="s">
        <v>174</v>
      </c>
      <c r="J33" s="29" t="s">
        <v>152</v>
      </c>
      <c r="K33" s="33" t="s">
        <v>175</v>
      </c>
      <c r="L33" s="19" t="s">
        <v>215</v>
      </c>
    </row>
    <row r="34" customFormat="false" ht="37.5" hidden="false" customHeight="true" outlineLevel="0" collapsed="false">
      <c r="A34" s="22" t="n">
        <v>33</v>
      </c>
      <c r="B34" s="35" t="s">
        <v>211</v>
      </c>
      <c r="C34" s="19" t="s">
        <v>216</v>
      </c>
      <c r="D34" s="19" t="s">
        <v>217</v>
      </c>
      <c r="E34" s="19" t="s">
        <v>218</v>
      </c>
      <c r="F34" s="25" t="s">
        <v>81</v>
      </c>
      <c r="G34" s="22" t="s">
        <v>87</v>
      </c>
      <c r="H34" s="23" t="s">
        <v>69</v>
      </c>
      <c r="I34" s="21" t="s">
        <v>70</v>
      </c>
      <c r="J34" s="21" t="s">
        <v>71</v>
      </c>
      <c r="K34" s="26" t="s">
        <v>93</v>
      </c>
      <c r="L34" s="19" t="s">
        <v>219</v>
      </c>
    </row>
    <row r="35" customFormat="false" ht="37.5" hidden="false" customHeight="true" outlineLevel="0" collapsed="false">
      <c r="A35" s="22" t="n">
        <v>34</v>
      </c>
      <c r="B35" s="35" t="s">
        <v>211</v>
      </c>
      <c r="C35" s="19" t="s">
        <v>220</v>
      </c>
      <c r="D35" s="19" t="s">
        <v>221</v>
      </c>
      <c r="E35" s="19" t="s">
        <v>222</v>
      </c>
      <c r="F35" s="25" t="s">
        <v>81</v>
      </c>
      <c r="G35" s="22" t="s">
        <v>87</v>
      </c>
      <c r="H35" s="27" t="s">
        <v>102</v>
      </c>
      <c r="I35" s="21" t="s">
        <v>70</v>
      </c>
      <c r="J35" s="21" t="s">
        <v>71</v>
      </c>
      <c r="K35" s="31" t="s">
        <v>147</v>
      </c>
      <c r="L35" s="19" t="s">
        <v>223</v>
      </c>
    </row>
    <row r="36" customFormat="false" ht="37.5" hidden="false" customHeight="true" outlineLevel="0" collapsed="false">
      <c r="A36" s="22" t="n">
        <v>35</v>
      </c>
      <c r="B36" s="35" t="s">
        <v>211</v>
      </c>
      <c r="C36" s="19" t="s">
        <v>224</v>
      </c>
      <c r="D36" s="19" t="s">
        <v>225</v>
      </c>
      <c r="E36" s="19" t="s">
        <v>226</v>
      </c>
      <c r="F36" s="25" t="s">
        <v>81</v>
      </c>
      <c r="G36" s="22" t="s">
        <v>87</v>
      </c>
      <c r="H36" s="23" t="s">
        <v>69</v>
      </c>
      <c r="I36" s="21" t="s">
        <v>70</v>
      </c>
      <c r="J36" s="21" t="s">
        <v>71</v>
      </c>
      <c r="K36" s="26" t="s">
        <v>93</v>
      </c>
      <c r="L36" s="19" t="s">
        <v>227</v>
      </c>
    </row>
    <row r="37" customFormat="false" ht="37.5" hidden="false" customHeight="true" outlineLevel="0" collapsed="false">
      <c r="A37" s="22" t="n">
        <v>36</v>
      </c>
      <c r="B37" s="36" t="s">
        <v>228</v>
      </c>
      <c r="C37" s="19" t="s">
        <v>229</v>
      </c>
      <c r="D37" s="19" t="s">
        <v>230</v>
      </c>
      <c r="E37" s="19" t="s">
        <v>231</v>
      </c>
      <c r="F37" s="21" t="s">
        <v>67</v>
      </c>
      <c r="G37" s="22" t="s">
        <v>87</v>
      </c>
      <c r="H37" s="23" t="s">
        <v>69</v>
      </c>
      <c r="I37" s="21" t="s">
        <v>70</v>
      </c>
      <c r="J37" s="21" t="s">
        <v>71</v>
      </c>
      <c r="K37" s="26" t="s">
        <v>93</v>
      </c>
      <c r="L37" s="19" t="s">
        <v>232</v>
      </c>
    </row>
    <row r="38" customFormat="false" ht="37.5" hidden="false" customHeight="true" outlineLevel="0" collapsed="false">
      <c r="A38" s="22" t="n">
        <v>37</v>
      </c>
      <c r="B38" s="36" t="s">
        <v>228</v>
      </c>
      <c r="C38" s="19" t="s">
        <v>233</v>
      </c>
      <c r="D38" s="19" t="s">
        <v>234</v>
      </c>
      <c r="E38" s="19" t="s">
        <v>235</v>
      </c>
      <c r="F38" s="21" t="s">
        <v>67</v>
      </c>
      <c r="G38" s="22" t="s">
        <v>82</v>
      </c>
      <c r="H38" s="27" t="s">
        <v>102</v>
      </c>
      <c r="I38" s="23" t="s">
        <v>69</v>
      </c>
      <c r="J38" s="21" t="s">
        <v>71</v>
      </c>
      <c r="K38" s="31" t="s">
        <v>147</v>
      </c>
      <c r="L38" s="19" t="s">
        <v>236</v>
      </c>
    </row>
    <row r="39" customFormat="false" ht="37.5" hidden="false" customHeight="true" outlineLevel="0" collapsed="false">
      <c r="A39" s="22" t="n">
        <v>38</v>
      </c>
      <c r="B39" s="36" t="s">
        <v>228</v>
      </c>
      <c r="C39" s="19" t="s">
        <v>237</v>
      </c>
      <c r="D39" s="19" t="s">
        <v>238</v>
      </c>
      <c r="E39" s="19" t="s">
        <v>239</v>
      </c>
      <c r="F39" s="25" t="s">
        <v>81</v>
      </c>
      <c r="G39" s="22" t="s">
        <v>87</v>
      </c>
      <c r="H39" s="27" t="s">
        <v>102</v>
      </c>
      <c r="I39" s="23" t="s">
        <v>69</v>
      </c>
      <c r="J39" s="23" t="s">
        <v>69</v>
      </c>
      <c r="K39" s="31" t="s">
        <v>147</v>
      </c>
      <c r="L39" s="19" t="s">
        <v>240</v>
      </c>
    </row>
    <row r="40" customFormat="false" ht="37.5" hidden="false" customHeight="true" outlineLevel="0" collapsed="false">
      <c r="A40" s="22" t="n">
        <v>39</v>
      </c>
      <c r="B40" s="37" t="s">
        <v>241</v>
      </c>
      <c r="C40" s="19" t="s">
        <v>242</v>
      </c>
      <c r="D40" s="19" t="s">
        <v>243</v>
      </c>
      <c r="E40" s="19" t="s">
        <v>244</v>
      </c>
      <c r="F40" s="25" t="s">
        <v>81</v>
      </c>
      <c r="G40" s="22" t="s">
        <v>82</v>
      </c>
      <c r="H40" s="29" t="s">
        <v>70</v>
      </c>
      <c r="I40" s="21" t="s">
        <v>70</v>
      </c>
      <c r="J40" s="21" t="s">
        <v>71</v>
      </c>
      <c r="K40" s="24" t="s">
        <v>72</v>
      </c>
      <c r="L40" s="19" t="s">
        <v>245</v>
      </c>
    </row>
    <row r="41" customFormat="false" ht="37.5" hidden="false" customHeight="true" outlineLevel="0" collapsed="false">
      <c r="A41" s="22" t="n">
        <v>40</v>
      </c>
      <c r="B41" s="37" t="s">
        <v>241</v>
      </c>
      <c r="C41" s="19" t="s">
        <v>246</v>
      </c>
      <c r="D41" s="19" t="s">
        <v>247</v>
      </c>
      <c r="E41" s="19" t="s">
        <v>248</v>
      </c>
      <c r="F41" s="25" t="s">
        <v>81</v>
      </c>
      <c r="G41" s="22" t="s">
        <v>87</v>
      </c>
      <c r="H41" s="29" t="s">
        <v>70</v>
      </c>
      <c r="I41" s="23" t="s">
        <v>69</v>
      </c>
      <c r="J41" s="21" t="s">
        <v>71</v>
      </c>
      <c r="K41" s="31" t="s">
        <v>147</v>
      </c>
      <c r="L41" s="19" t="s">
        <v>249</v>
      </c>
    </row>
    <row r="42" customFormat="false" ht="37.5" hidden="false" customHeight="true" outlineLevel="0" collapsed="false">
      <c r="A42" s="22" t="n">
        <v>41</v>
      </c>
      <c r="B42" s="37" t="s">
        <v>241</v>
      </c>
      <c r="C42" s="19" t="s">
        <v>250</v>
      </c>
      <c r="D42" s="19" t="s">
        <v>251</v>
      </c>
      <c r="E42" s="19" t="s">
        <v>252</v>
      </c>
      <c r="F42" s="25" t="s">
        <v>81</v>
      </c>
      <c r="G42" s="22" t="s">
        <v>82</v>
      </c>
      <c r="H42" s="29" t="s">
        <v>70</v>
      </c>
      <c r="I42" s="21" t="s">
        <v>70</v>
      </c>
      <c r="J42" s="21" t="s">
        <v>71</v>
      </c>
      <c r="K42" s="31" t="s">
        <v>147</v>
      </c>
      <c r="L42" s="19" t="s">
        <v>253</v>
      </c>
    </row>
    <row r="43" customFormat="false" ht="37.5" hidden="false" customHeight="true" outlineLevel="0" collapsed="false">
      <c r="A43" s="22" t="n">
        <v>42</v>
      </c>
      <c r="B43" s="37" t="s">
        <v>241</v>
      </c>
      <c r="C43" s="20" t="s">
        <v>254</v>
      </c>
      <c r="D43" s="20" t="s">
        <v>255</v>
      </c>
      <c r="E43" s="19" t="s">
        <v>256</v>
      </c>
      <c r="F43" s="25" t="s">
        <v>81</v>
      </c>
      <c r="G43" s="22" t="s">
        <v>82</v>
      </c>
      <c r="H43" s="27" t="s">
        <v>102</v>
      </c>
      <c r="I43" s="21" t="s">
        <v>70</v>
      </c>
      <c r="J43" s="21" t="s">
        <v>71</v>
      </c>
      <c r="K43" s="24" t="s">
        <v>72</v>
      </c>
      <c r="L43" s="20" t="s">
        <v>257</v>
      </c>
    </row>
    <row r="44" customFormat="false" ht="37.5" hidden="false" customHeight="true" outlineLevel="0" collapsed="false">
      <c r="A44" s="22" t="n">
        <v>43</v>
      </c>
      <c r="B44" s="38" t="s">
        <v>258</v>
      </c>
      <c r="C44" s="19" t="s">
        <v>259</v>
      </c>
      <c r="D44" s="19" t="s">
        <v>260</v>
      </c>
      <c r="E44" s="19" t="s">
        <v>261</v>
      </c>
      <c r="F44" s="21" t="s">
        <v>67</v>
      </c>
      <c r="G44" s="22" t="s">
        <v>68</v>
      </c>
      <c r="H44" s="23" t="s">
        <v>69</v>
      </c>
      <c r="I44" s="21" t="s">
        <v>70</v>
      </c>
      <c r="J44" s="21" t="s">
        <v>71</v>
      </c>
      <c r="K44" s="24" t="s">
        <v>72</v>
      </c>
      <c r="L44" s="19" t="s">
        <v>262</v>
      </c>
    </row>
    <row r="45" customFormat="false" ht="37.5" hidden="false" customHeight="true" outlineLevel="0" collapsed="false">
      <c r="A45" s="22" t="n">
        <v>44</v>
      </c>
      <c r="B45" s="38" t="s">
        <v>258</v>
      </c>
      <c r="C45" s="19" t="s">
        <v>263</v>
      </c>
      <c r="D45" s="19" t="s">
        <v>264</v>
      </c>
      <c r="E45" s="19" t="s">
        <v>265</v>
      </c>
      <c r="F45" s="21" t="s">
        <v>67</v>
      </c>
      <c r="G45" s="22" t="s">
        <v>68</v>
      </c>
      <c r="H45" s="23" t="s">
        <v>69</v>
      </c>
      <c r="I45" s="23" t="s">
        <v>69</v>
      </c>
      <c r="J45" s="23" t="s">
        <v>69</v>
      </c>
      <c r="K45" s="26" t="s">
        <v>93</v>
      </c>
      <c r="L45" s="19" t="s">
        <v>266</v>
      </c>
    </row>
    <row r="46" customFormat="false" ht="37.5" hidden="false" customHeight="true" outlineLevel="0" collapsed="false">
      <c r="A46" s="22" t="n">
        <v>45</v>
      </c>
      <c r="B46" s="38" t="s">
        <v>258</v>
      </c>
      <c r="C46" s="19" t="s">
        <v>267</v>
      </c>
      <c r="D46" s="19" t="s">
        <v>268</v>
      </c>
      <c r="E46" s="19" t="s">
        <v>269</v>
      </c>
      <c r="F46" s="29" t="s">
        <v>120</v>
      </c>
      <c r="G46" s="22" t="s">
        <v>146</v>
      </c>
      <c r="H46" s="27" t="s">
        <v>102</v>
      </c>
      <c r="I46" s="23" t="s">
        <v>69</v>
      </c>
      <c r="J46" s="21" t="s">
        <v>71</v>
      </c>
      <c r="K46" s="26" t="s">
        <v>93</v>
      </c>
      <c r="L46" s="19" t="s">
        <v>270</v>
      </c>
    </row>
    <row r="47" customFormat="false" ht="37.5" hidden="false" customHeight="true" outlineLevel="0" collapsed="false">
      <c r="A47" s="22" t="n">
        <v>46</v>
      </c>
      <c r="B47" s="38" t="s">
        <v>258</v>
      </c>
      <c r="C47" s="19" t="s">
        <v>271</v>
      </c>
      <c r="D47" s="19" t="s">
        <v>272</v>
      </c>
      <c r="E47" s="19" t="s">
        <v>273</v>
      </c>
      <c r="F47" s="25" t="s">
        <v>81</v>
      </c>
      <c r="G47" s="22" t="s">
        <v>274</v>
      </c>
      <c r="H47" s="21" t="s">
        <v>174</v>
      </c>
      <c r="I47" s="23" t="s">
        <v>69</v>
      </c>
      <c r="J47" s="29" t="s">
        <v>152</v>
      </c>
      <c r="K47" s="33" t="s">
        <v>175</v>
      </c>
      <c r="L47" s="19" t="s">
        <v>275</v>
      </c>
    </row>
  </sheetData>
  <autoFilter ref="A1:L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28"/>
  </cols>
  <sheetData>
    <row r="1" customFormat="false" ht="23.25" hidden="false" customHeight="true" outlineLevel="0" collapsed="false">
      <c r="A1" s="39" t="s">
        <v>276</v>
      </c>
      <c r="B1" s="39"/>
      <c r="C1" s="39"/>
      <c r="D1" s="39"/>
    </row>
    <row r="3" customFormat="false" ht="24" hidden="false" customHeight="true" outlineLevel="0" collapsed="false">
      <c r="A3" s="5" t="s">
        <v>52</v>
      </c>
      <c r="B3" s="5" t="s">
        <v>277</v>
      </c>
      <c r="C3" s="5" t="s">
        <v>278</v>
      </c>
      <c r="D3" s="5" t="s">
        <v>279</v>
      </c>
    </row>
    <row r="4" customFormat="false" ht="15" hidden="false" customHeight="true" outlineLevel="0" collapsed="false">
      <c r="A4" s="40" t="s">
        <v>63</v>
      </c>
      <c r="B4" s="22" t="n">
        <v>8</v>
      </c>
      <c r="C4" s="20" t="s">
        <v>280</v>
      </c>
      <c r="D4" s="19" t="s">
        <v>64</v>
      </c>
    </row>
    <row r="5" customFormat="false" ht="15" hidden="false" customHeight="true" outlineLevel="0" collapsed="false">
      <c r="A5" s="41" t="s">
        <v>108</v>
      </c>
      <c r="B5" s="22" t="n">
        <v>4</v>
      </c>
      <c r="C5" s="20" t="s">
        <v>281</v>
      </c>
      <c r="D5" s="19" t="s">
        <v>109</v>
      </c>
    </row>
    <row r="6" customFormat="false" ht="23.25" hidden="false" customHeight="true" outlineLevel="0" collapsed="false">
      <c r="A6" s="42" t="s">
        <v>126</v>
      </c>
      <c r="B6" s="22" t="n">
        <v>9</v>
      </c>
      <c r="C6" s="20" t="s">
        <v>282</v>
      </c>
      <c r="D6" s="19" t="s">
        <v>127</v>
      </c>
    </row>
    <row r="7" customFormat="false" ht="15" hidden="false" customHeight="true" outlineLevel="0" collapsed="false">
      <c r="A7" s="43" t="s">
        <v>166</v>
      </c>
      <c r="B7" s="22" t="n">
        <v>5</v>
      </c>
      <c r="C7" s="20" t="s">
        <v>283</v>
      </c>
      <c r="D7" s="19" t="s">
        <v>171</v>
      </c>
    </row>
    <row r="8" customFormat="false" ht="15" hidden="false" customHeight="true" outlineLevel="0" collapsed="false">
      <c r="A8" s="44" t="s">
        <v>189</v>
      </c>
      <c r="B8" s="22" t="n">
        <v>5</v>
      </c>
      <c r="C8" s="20" t="s">
        <v>284</v>
      </c>
      <c r="D8" s="20" t="s">
        <v>190</v>
      </c>
    </row>
    <row r="9" customFormat="false" ht="15" hidden="false" customHeight="true" outlineLevel="0" collapsed="false">
      <c r="A9" s="45" t="s">
        <v>211</v>
      </c>
      <c r="B9" s="22" t="n">
        <v>4</v>
      </c>
      <c r="C9" s="20" t="s">
        <v>285</v>
      </c>
      <c r="D9" s="19" t="s">
        <v>212</v>
      </c>
    </row>
    <row r="10" customFormat="false" ht="15" hidden="false" customHeight="true" outlineLevel="0" collapsed="false">
      <c r="A10" s="46" t="s">
        <v>228</v>
      </c>
      <c r="B10" s="22" t="n">
        <v>3</v>
      </c>
      <c r="C10" s="20" t="s">
        <v>286</v>
      </c>
      <c r="D10" s="19" t="s">
        <v>229</v>
      </c>
    </row>
    <row r="11" customFormat="false" ht="15" hidden="false" customHeight="true" outlineLevel="0" collapsed="false">
      <c r="A11" s="47" t="s">
        <v>241</v>
      </c>
      <c r="B11" s="22" t="n">
        <v>4</v>
      </c>
      <c r="C11" s="20" t="s">
        <v>287</v>
      </c>
      <c r="D11" s="20" t="s">
        <v>254</v>
      </c>
    </row>
    <row r="12" customFormat="false" ht="15" hidden="false" customHeight="true" outlineLevel="0" collapsed="false">
      <c r="A12" s="48" t="s">
        <v>258</v>
      </c>
      <c r="B12" s="22" t="n">
        <v>4</v>
      </c>
      <c r="C12" s="20" t="s">
        <v>288</v>
      </c>
      <c r="D12" s="19" t="s">
        <v>259</v>
      </c>
    </row>
    <row r="13" customFormat="false" ht="15" hidden="false" customHeight="true" outlineLevel="0" collapsed="false">
      <c r="A13" s="49" t="s">
        <v>289</v>
      </c>
      <c r="B13" s="50" t="n">
        <f aca="false">SUM(B4:B12)</f>
        <v>46</v>
      </c>
      <c r="C13" s="51"/>
      <c r="D13" s="51"/>
    </row>
    <row r="16" customFormat="false" ht="15" hidden="false" customHeight="true" outlineLevel="0" collapsed="false">
      <c r="A16" s="52" t="s">
        <v>290</v>
      </c>
      <c r="B16" s="52"/>
      <c r="C16" s="52"/>
      <c r="D16" s="52"/>
    </row>
    <row r="17" customFormat="false" ht="16.5" hidden="false" customHeight="true" outlineLevel="0" collapsed="false">
      <c r="A17" s="5" t="s">
        <v>52</v>
      </c>
      <c r="B17" s="5" t="s">
        <v>51</v>
      </c>
      <c r="C17" s="5" t="s">
        <v>53</v>
      </c>
      <c r="D17" s="5" t="s">
        <v>56</v>
      </c>
    </row>
    <row r="18" customFormat="false" ht="15" hidden="false" customHeight="true" outlineLevel="0" collapsed="false">
      <c r="A18" s="53" t="s">
        <v>63</v>
      </c>
      <c r="B18" s="22" t="n">
        <v>1</v>
      </c>
      <c r="C18" s="19" t="s">
        <v>64</v>
      </c>
      <c r="D18" s="21" t="s">
        <v>67</v>
      </c>
    </row>
    <row r="19" customFormat="false" ht="15" hidden="false" customHeight="true" outlineLevel="0" collapsed="false">
      <c r="A19" s="53" t="s">
        <v>63</v>
      </c>
      <c r="B19" s="22" t="n">
        <v>2</v>
      </c>
      <c r="C19" s="19" t="s">
        <v>74</v>
      </c>
      <c r="D19" s="21" t="s">
        <v>67</v>
      </c>
    </row>
    <row r="20" customFormat="false" ht="15" hidden="false" customHeight="true" outlineLevel="0" collapsed="false">
      <c r="A20" s="53" t="s">
        <v>63</v>
      </c>
      <c r="B20" s="22" t="n">
        <v>3</v>
      </c>
      <c r="C20" s="19" t="s">
        <v>78</v>
      </c>
      <c r="D20" s="25" t="s">
        <v>81</v>
      </c>
    </row>
    <row r="21" customFormat="false" ht="15" hidden="false" customHeight="true" outlineLevel="0" collapsed="false">
      <c r="A21" s="53" t="s">
        <v>63</v>
      </c>
      <c r="B21" s="22" t="n">
        <v>4</v>
      </c>
      <c r="C21" s="20" t="s">
        <v>84</v>
      </c>
      <c r="D21" s="21" t="s">
        <v>67</v>
      </c>
    </row>
    <row r="22" customFormat="false" ht="15" hidden="false" customHeight="true" outlineLevel="0" collapsed="false">
      <c r="A22" s="53" t="s">
        <v>63</v>
      </c>
      <c r="B22" s="22" t="n">
        <v>5</v>
      </c>
      <c r="C22" s="19" t="s">
        <v>89</v>
      </c>
      <c r="D22" s="23" t="s">
        <v>92</v>
      </c>
    </row>
    <row r="23" customFormat="false" ht="15" hidden="false" customHeight="true" outlineLevel="0" collapsed="false">
      <c r="A23" s="53" t="s">
        <v>63</v>
      </c>
      <c r="B23" s="22" t="n">
        <v>6</v>
      </c>
      <c r="C23" s="19" t="s">
        <v>95</v>
      </c>
      <c r="D23" s="21" t="s">
        <v>67</v>
      </c>
    </row>
    <row r="24" customFormat="false" ht="15" hidden="false" customHeight="true" outlineLevel="0" collapsed="false">
      <c r="A24" s="53" t="s">
        <v>63</v>
      </c>
      <c r="B24" s="22" t="n">
        <v>7</v>
      </c>
      <c r="C24" s="19" t="s">
        <v>99</v>
      </c>
      <c r="D24" s="21" t="s">
        <v>67</v>
      </c>
    </row>
    <row r="25" customFormat="false" ht="15" hidden="false" customHeight="true" outlineLevel="0" collapsed="false">
      <c r="A25" s="53" t="s">
        <v>63</v>
      </c>
      <c r="B25" s="22" t="n">
        <v>8</v>
      </c>
      <c r="C25" s="19" t="s">
        <v>104</v>
      </c>
      <c r="D25" s="23" t="s">
        <v>92</v>
      </c>
    </row>
    <row r="26" customFormat="false" ht="15" hidden="false" customHeight="true" outlineLevel="0" collapsed="false">
      <c r="A26" s="54" t="s">
        <v>108</v>
      </c>
      <c r="B26" s="22" t="n">
        <v>9</v>
      </c>
      <c r="C26" s="19" t="s">
        <v>109</v>
      </c>
      <c r="D26" s="21" t="s">
        <v>67</v>
      </c>
    </row>
    <row r="27" customFormat="false" ht="15" hidden="false" customHeight="true" outlineLevel="0" collapsed="false">
      <c r="A27" s="54" t="s">
        <v>108</v>
      </c>
      <c r="B27" s="22" t="n">
        <v>10</v>
      </c>
      <c r="C27" s="19" t="s">
        <v>113</v>
      </c>
      <c r="D27" s="25" t="s">
        <v>81</v>
      </c>
    </row>
    <row r="28" customFormat="false" ht="15" hidden="false" customHeight="true" outlineLevel="0" collapsed="false">
      <c r="A28" s="54" t="s">
        <v>108</v>
      </c>
      <c r="B28" s="22" t="n">
        <v>11</v>
      </c>
      <c r="C28" s="19" t="s">
        <v>117</v>
      </c>
      <c r="D28" s="29" t="s">
        <v>120</v>
      </c>
    </row>
    <row r="29" customFormat="false" ht="15" hidden="false" customHeight="true" outlineLevel="0" collapsed="false">
      <c r="A29" s="54" t="s">
        <v>108</v>
      </c>
      <c r="B29" s="22" t="n">
        <v>12</v>
      </c>
      <c r="C29" s="19" t="s">
        <v>122</v>
      </c>
      <c r="D29" s="21" t="s">
        <v>67</v>
      </c>
    </row>
    <row r="30" customFormat="false" ht="15" hidden="false" customHeight="true" outlineLevel="0" collapsed="false">
      <c r="A30" s="55" t="s">
        <v>126</v>
      </c>
      <c r="B30" s="22" t="n">
        <v>13</v>
      </c>
      <c r="C30" s="19" t="s">
        <v>127</v>
      </c>
      <c r="D30" s="25" t="s">
        <v>81</v>
      </c>
    </row>
    <row r="31" customFormat="false" ht="15" hidden="false" customHeight="true" outlineLevel="0" collapsed="false">
      <c r="A31" s="55" t="s">
        <v>126</v>
      </c>
      <c r="B31" s="22" t="n">
        <v>14</v>
      </c>
      <c r="C31" s="19" t="s">
        <v>131</v>
      </c>
      <c r="D31" s="21" t="s">
        <v>67</v>
      </c>
    </row>
    <row r="32" customFormat="false" ht="15" hidden="false" customHeight="true" outlineLevel="0" collapsed="false">
      <c r="A32" s="55" t="s">
        <v>126</v>
      </c>
      <c r="B32" s="22" t="n">
        <v>15</v>
      </c>
      <c r="C32" s="19" t="s">
        <v>135</v>
      </c>
      <c r="D32" s="25" t="s">
        <v>81</v>
      </c>
    </row>
    <row r="33" customFormat="false" ht="15" hidden="false" customHeight="true" outlineLevel="0" collapsed="false">
      <c r="A33" s="55" t="s">
        <v>126</v>
      </c>
      <c r="B33" s="22" t="n">
        <v>16</v>
      </c>
      <c r="C33" s="19" t="s">
        <v>139</v>
      </c>
      <c r="D33" s="29" t="s">
        <v>120</v>
      </c>
    </row>
    <row r="34" customFormat="false" ht="15" hidden="false" customHeight="true" outlineLevel="0" collapsed="false">
      <c r="A34" s="55" t="s">
        <v>126</v>
      </c>
      <c r="B34" s="22" t="n">
        <v>17</v>
      </c>
      <c r="C34" s="19" t="s">
        <v>143</v>
      </c>
      <c r="D34" s="25" t="s">
        <v>81</v>
      </c>
    </row>
    <row r="35" customFormat="false" ht="15" hidden="false" customHeight="true" outlineLevel="0" collapsed="false">
      <c r="A35" s="55" t="s">
        <v>126</v>
      </c>
      <c r="B35" s="22" t="n">
        <v>18</v>
      </c>
      <c r="C35" s="19" t="s">
        <v>149</v>
      </c>
      <c r="D35" s="25" t="s">
        <v>81</v>
      </c>
    </row>
    <row r="36" customFormat="false" ht="15" hidden="false" customHeight="true" outlineLevel="0" collapsed="false">
      <c r="A36" s="55" t="s">
        <v>126</v>
      </c>
      <c r="B36" s="22" t="n">
        <v>19</v>
      </c>
      <c r="C36" s="19" t="s">
        <v>154</v>
      </c>
      <c r="D36" s="25" t="s">
        <v>81</v>
      </c>
    </row>
    <row r="37" customFormat="false" ht="15" hidden="false" customHeight="true" outlineLevel="0" collapsed="false">
      <c r="A37" s="55" t="s">
        <v>126</v>
      </c>
      <c r="B37" s="22" t="n">
        <v>20</v>
      </c>
      <c r="C37" s="19" t="s">
        <v>158</v>
      </c>
      <c r="D37" s="21" t="s">
        <v>67</v>
      </c>
    </row>
    <row r="38" customFormat="false" ht="15" hidden="false" customHeight="true" outlineLevel="0" collapsed="false">
      <c r="A38" s="55" t="s">
        <v>126</v>
      </c>
      <c r="B38" s="22" t="n">
        <v>21</v>
      </c>
      <c r="C38" s="19" t="s">
        <v>162</v>
      </c>
      <c r="D38" s="21" t="s">
        <v>67</v>
      </c>
    </row>
    <row r="39" customFormat="false" ht="15" hidden="false" customHeight="true" outlineLevel="0" collapsed="false">
      <c r="A39" s="56" t="s">
        <v>166</v>
      </c>
      <c r="B39" s="22" t="n">
        <v>22</v>
      </c>
      <c r="C39" s="20" t="s">
        <v>167</v>
      </c>
      <c r="D39" s="29" t="s">
        <v>120</v>
      </c>
    </row>
    <row r="40" customFormat="false" ht="15" hidden="false" customHeight="true" outlineLevel="0" collapsed="false">
      <c r="A40" s="56" t="s">
        <v>166</v>
      </c>
      <c r="B40" s="22" t="n">
        <v>23</v>
      </c>
      <c r="C40" s="19" t="s">
        <v>171</v>
      </c>
      <c r="D40" s="21" t="s">
        <v>67</v>
      </c>
    </row>
    <row r="41" customFormat="false" ht="15" hidden="false" customHeight="true" outlineLevel="0" collapsed="false">
      <c r="A41" s="56" t="s">
        <v>166</v>
      </c>
      <c r="B41" s="22" t="n">
        <v>24</v>
      </c>
      <c r="C41" s="19" t="s">
        <v>177</v>
      </c>
      <c r="D41" s="21" t="s">
        <v>67</v>
      </c>
    </row>
    <row r="42" customFormat="false" ht="15" hidden="false" customHeight="true" outlineLevel="0" collapsed="false">
      <c r="A42" s="56" t="s">
        <v>166</v>
      </c>
      <c r="B42" s="22" t="n">
        <v>25</v>
      </c>
      <c r="C42" s="19" t="s">
        <v>181</v>
      </c>
      <c r="D42" s="23" t="s">
        <v>92</v>
      </c>
    </row>
    <row r="43" customFormat="false" ht="15" hidden="false" customHeight="true" outlineLevel="0" collapsed="false">
      <c r="A43" s="56" t="s">
        <v>166</v>
      </c>
      <c r="B43" s="22" t="n">
        <v>26</v>
      </c>
      <c r="C43" s="19" t="s">
        <v>185</v>
      </c>
      <c r="D43" s="23" t="s">
        <v>92</v>
      </c>
    </row>
    <row r="44" customFormat="false" ht="15" hidden="false" customHeight="true" outlineLevel="0" collapsed="false">
      <c r="A44" s="57" t="s">
        <v>189</v>
      </c>
      <c r="B44" s="22" t="n">
        <v>27</v>
      </c>
      <c r="C44" s="20" t="s">
        <v>190</v>
      </c>
      <c r="D44" s="25" t="s">
        <v>81</v>
      </c>
    </row>
    <row r="45" customFormat="false" ht="15" hidden="false" customHeight="true" outlineLevel="0" collapsed="false">
      <c r="A45" s="57" t="s">
        <v>189</v>
      </c>
      <c r="B45" s="22" t="n">
        <v>28</v>
      </c>
      <c r="C45" s="19" t="s">
        <v>194</v>
      </c>
      <c r="D45" s="25" t="s">
        <v>81</v>
      </c>
    </row>
    <row r="46" customFormat="false" ht="15" hidden="false" customHeight="true" outlineLevel="0" collapsed="false">
      <c r="A46" s="57" t="s">
        <v>189</v>
      </c>
      <c r="B46" s="22" t="n">
        <v>29</v>
      </c>
      <c r="C46" s="19" t="s">
        <v>198</v>
      </c>
      <c r="D46" s="25" t="s">
        <v>81</v>
      </c>
    </row>
    <row r="47" customFormat="false" ht="15" hidden="false" customHeight="true" outlineLevel="0" collapsed="false">
      <c r="A47" s="57" t="s">
        <v>189</v>
      </c>
      <c r="B47" s="22" t="n">
        <v>30</v>
      </c>
      <c r="C47" s="19" t="s">
        <v>203</v>
      </c>
      <c r="D47" s="25" t="s">
        <v>81</v>
      </c>
    </row>
    <row r="48" customFormat="false" ht="15" hidden="false" customHeight="true" outlineLevel="0" collapsed="false">
      <c r="A48" s="57" t="s">
        <v>189</v>
      </c>
      <c r="B48" s="22" t="n">
        <v>31</v>
      </c>
      <c r="C48" s="19" t="s">
        <v>207</v>
      </c>
      <c r="D48" s="25" t="s">
        <v>81</v>
      </c>
    </row>
    <row r="49" customFormat="false" ht="15" hidden="false" customHeight="true" outlineLevel="0" collapsed="false">
      <c r="A49" s="58" t="s">
        <v>211</v>
      </c>
      <c r="B49" s="22" t="n">
        <v>32</v>
      </c>
      <c r="C49" s="19" t="s">
        <v>212</v>
      </c>
      <c r="D49" s="25" t="s">
        <v>81</v>
      </c>
    </row>
    <row r="50" customFormat="false" ht="15" hidden="false" customHeight="true" outlineLevel="0" collapsed="false">
      <c r="A50" s="58" t="s">
        <v>211</v>
      </c>
      <c r="B50" s="22" t="n">
        <v>33</v>
      </c>
      <c r="C50" s="19" t="s">
        <v>216</v>
      </c>
      <c r="D50" s="25" t="s">
        <v>81</v>
      </c>
    </row>
    <row r="51" customFormat="false" ht="15" hidden="false" customHeight="true" outlineLevel="0" collapsed="false">
      <c r="A51" s="58" t="s">
        <v>211</v>
      </c>
      <c r="B51" s="22" t="n">
        <v>34</v>
      </c>
      <c r="C51" s="19" t="s">
        <v>220</v>
      </c>
      <c r="D51" s="25" t="s">
        <v>81</v>
      </c>
    </row>
    <row r="52" customFormat="false" ht="15" hidden="false" customHeight="true" outlineLevel="0" collapsed="false">
      <c r="A52" s="58" t="s">
        <v>211</v>
      </c>
      <c r="B52" s="22" t="n">
        <v>35</v>
      </c>
      <c r="C52" s="19" t="s">
        <v>224</v>
      </c>
      <c r="D52" s="25" t="s">
        <v>81</v>
      </c>
    </row>
    <row r="53" customFormat="false" ht="15" hidden="false" customHeight="true" outlineLevel="0" collapsed="false">
      <c r="A53" s="59" t="s">
        <v>228</v>
      </c>
      <c r="B53" s="22" t="n">
        <v>36</v>
      </c>
      <c r="C53" s="19" t="s">
        <v>229</v>
      </c>
      <c r="D53" s="21" t="s">
        <v>67</v>
      </c>
    </row>
    <row r="54" customFormat="false" ht="15" hidden="false" customHeight="true" outlineLevel="0" collapsed="false">
      <c r="A54" s="59" t="s">
        <v>228</v>
      </c>
      <c r="B54" s="22" t="n">
        <v>37</v>
      </c>
      <c r="C54" s="19" t="s">
        <v>233</v>
      </c>
      <c r="D54" s="21" t="s">
        <v>67</v>
      </c>
    </row>
    <row r="55" customFormat="false" ht="15" hidden="false" customHeight="true" outlineLevel="0" collapsed="false">
      <c r="A55" s="59" t="s">
        <v>228</v>
      </c>
      <c r="B55" s="22" t="n">
        <v>38</v>
      </c>
      <c r="C55" s="19" t="s">
        <v>237</v>
      </c>
      <c r="D55" s="25" t="s">
        <v>81</v>
      </c>
    </row>
    <row r="56" customFormat="false" ht="15" hidden="false" customHeight="true" outlineLevel="0" collapsed="false">
      <c r="A56" s="60" t="s">
        <v>241</v>
      </c>
      <c r="B56" s="22" t="n">
        <v>39</v>
      </c>
      <c r="C56" s="19" t="s">
        <v>242</v>
      </c>
      <c r="D56" s="25" t="s">
        <v>81</v>
      </c>
    </row>
    <row r="57" customFormat="false" ht="15" hidden="false" customHeight="true" outlineLevel="0" collapsed="false">
      <c r="A57" s="60" t="s">
        <v>241</v>
      </c>
      <c r="B57" s="22" t="n">
        <v>40</v>
      </c>
      <c r="C57" s="19" t="s">
        <v>246</v>
      </c>
      <c r="D57" s="25" t="s">
        <v>81</v>
      </c>
    </row>
    <row r="58" customFormat="false" ht="15" hidden="false" customHeight="true" outlineLevel="0" collapsed="false">
      <c r="A58" s="60" t="s">
        <v>241</v>
      </c>
      <c r="B58" s="22" t="n">
        <v>41</v>
      </c>
      <c r="C58" s="19" t="s">
        <v>250</v>
      </c>
      <c r="D58" s="25" t="s">
        <v>81</v>
      </c>
    </row>
    <row r="59" customFormat="false" ht="15" hidden="false" customHeight="true" outlineLevel="0" collapsed="false">
      <c r="A59" s="60" t="s">
        <v>241</v>
      </c>
      <c r="B59" s="22" t="n">
        <v>42</v>
      </c>
      <c r="C59" s="20" t="s">
        <v>254</v>
      </c>
      <c r="D59" s="25" t="s">
        <v>81</v>
      </c>
    </row>
    <row r="60" customFormat="false" ht="15" hidden="false" customHeight="true" outlineLevel="0" collapsed="false">
      <c r="A60" s="61" t="s">
        <v>258</v>
      </c>
      <c r="B60" s="22" t="n">
        <v>43</v>
      </c>
      <c r="C60" s="19" t="s">
        <v>259</v>
      </c>
      <c r="D60" s="21" t="s">
        <v>67</v>
      </c>
    </row>
    <row r="61" customFormat="false" ht="15" hidden="false" customHeight="true" outlineLevel="0" collapsed="false">
      <c r="A61" s="61" t="s">
        <v>258</v>
      </c>
      <c r="B61" s="22" t="n">
        <v>44</v>
      </c>
      <c r="C61" s="19" t="s">
        <v>263</v>
      </c>
      <c r="D61" s="21" t="s">
        <v>67</v>
      </c>
    </row>
    <row r="62" customFormat="false" ht="15" hidden="false" customHeight="true" outlineLevel="0" collapsed="false">
      <c r="A62" s="61" t="s">
        <v>258</v>
      </c>
      <c r="B62" s="22" t="n">
        <v>45</v>
      </c>
      <c r="C62" s="19" t="s">
        <v>267</v>
      </c>
      <c r="D62" s="29" t="s">
        <v>120</v>
      </c>
    </row>
    <row r="63" customFormat="false" ht="15" hidden="false" customHeight="true" outlineLevel="0" collapsed="false">
      <c r="A63" s="61" t="s">
        <v>258</v>
      </c>
      <c r="B63" s="22" t="n">
        <v>46</v>
      </c>
      <c r="C63" s="19" t="s">
        <v>271</v>
      </c>
      <c r="D63" s="25" t="s">
        <v>81</v>
      </c>
    </row>
  </sheetData>
  <mergeCells count="2">
    <mergeCell ref="A1:D1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50"/>
    <col collapsed="false" customWidth="true" hidden="false" outlineLevel="0" max="5" min="5" style="1" width="10"/>
  </cols>
  <sheetData>
    <row r="1" customFormat="false" ht="23.25" hidden="false" customHeight="true" outlineLevel="0" collapsed="false">
      <c r="A1" s="39" t="s">
        <v>291</v>
      </c>
      <c r="B1" s="39"/>
      <c r="C1" s="39"/>
      <c r="D1" s="39"/>
      <c r="E1" s="39"/>
    </row>
    <row r="3" customFormat="false" ht="15" hidden="false" customHeight="true" outlineLevel="0" collapsed="false">
      <c r="A3" s="62" t="s">
        <v>292</v>
      </c>
      <c r="B3" s="62"/>
      <c r="C3" s="62"/>
      <c r="D3" s="62"/>
      <c r="E3" s="62"/>
    </row>
    <row r="5" customFormat="false" ht="19.5" hidden="false" customHeight="true" outlineLevel="0" collapsed="false">
      <c r="A5" s="63" t="s">
        <v>293</v>
      </c>
      <c r="B5" s="63"/>
      <c r="C5" s="63"/>
      <c r="D5" s="63"/>
      <c r="E5" s="63"/>
    </row>
    <row r="6" customFormat="false" ht="15" hidden="false" customHeight="true" outlineLevel="0" collapsed="false">
      <c r="A6" s="64" t="s">
        <v>294</v>
      </c>
      <c r="B6" s="64"/>
      <c r="C6" s="64"/>
      <c r="D6" s="64"/>
      <c r="E6" s="64"/>
    </row>
    <row r="7" customFormat="false" ht="15" hidden="false" customHeight="true" outlineLevel="0" collapsed="false">
      <c r="A7" s="65" t="s">
        <v>51</v>
      </c>
      <c r="B7" s="65" t="s">
        <v>52</v>
      </c>
      <c r="C7" s="65" t="s">
        <v>53</v>
      </c>
      <c r="D7" s="65" t="s">
        <v>54</v>
      </c>
      <c r="E7" s="65" t="s">
        <v>58</v>
      </c>
    </row>
    <row r="8" customFormat="false" ht="15" hidden="false" customHeight="true" outlineLevel="0" collapsed="false">
      <c r="A8" s="22" t="n">
        <v>1</v>
      </c>
      <c r="B8" s="18" t="s">
        <v>63</v>
      </c>
      <c r="C8" s="19" t="s">
        <v>64</v>
      </c>
      <c r="D8" s="20" t="s">
        <v>65</v>
      </c>
      <c r="E8" s="23" t="s">
        <v>69</v>
      </c>
    </row>
    <row r="9" customFormat="false" ht="15" hidden="false" customHeight="true" outlineLevel="0" collapsed="false">
      <c r="A9" s="22" t="n">
        <v>2</v>
      </c>
      <c r="B9" s="18" t="s">
        <v>63</v>
      </c>
      <c r="C9" s="19" t="s">
        <v>74</v>
      </c>
      <c r="D9" s="19" t="s">
        <v>75</v>
      </c>
      <c r="E9" s="23" t="s">
        <v>69</v>
      </c>
    </row>
    <row r="10" customFormat="false" ht="15" hidden="false" customHeight="true" outlineLevel="0" collapsed="false">
      <c r="A10" s="22" t="n">
        <v>4</v>
      </c>
      <c r="B10" s="18" t="s">
        <v>63</v>
      </c>
      <c r="C10" s="20" t="s">
        <v>84</v>
      </c>
      <c r="D10" s="20" t="s">
        <v>85</v>
      </c>
      <c r="E10" s="23" t="s">
        <v>69</v>
      </c>
    </row>
    <row r="11" customFormat="false" ht="15" hidden="false" customHeight="true" outlineLevel="0" collapsed="false">
      <c r="A11" s="22" t="n">
        <v>6</v>
      </c>
      <c r="B11" s="18" t="s">
        <v>63</v>
      </c>
      <c r="C11" s="19" t="s">
        <v>95</v>
      </c>
      <c r="D11" s="19" t="s">
        <v>96</v>
      </c>
      <c r="E11" s="23" t="s">
        <v>69</v>
      </c>
    </row>
    <row r="12" customFormat="false" ht="15" hidden="false" customHeight="true" outlineLevel="0" collapsed="false">
      <c r="A12" s="22" t="n">
        <v>7</v>
      </c>
      <c r="B12" s="18" t="s">
        <v>63</v>
      </c>
      <c r="C12" s="19" t="s">
        <v>99</v>
      </c>
      <c r="D12" s="19" t="s">
        <v>100</v>
      </c>
      <c r="E12" s="27" t="s">
        <v>102</v>
      </c>
    </row>
    <row r="13" customFormat="false" ht="15" hidden="false" customHeight="true" outlineLevel="0" collapsed="false">
      <c r="A13" s="22" t="n">
        <v>9</v>
      </c>
      <c r="B13" s="28" t="s">
        <v>108</v>
      </c>
      <c r="C13" s="19" t="s">
        <v>109</v>
      </c>
      <c r="D13" s="19" t="s">
        <v>110</v>
      </c>
      <c r="E13" s="23" t="s">
        <v>69</v>
      </c>
    </row>
    <row r="14" customFormat="false" ht="15" hidden="false" customHeight="true" outlineLevel="0" collapsed="false">
      <c r="A14" s="22" t="n">
        <v>12</v>
      </c>
      <c r="B14" s="28" t="s">
        <v>108</v>
      </c>
      <c r="C14" s="19" t="s">
        <v>122</v>
      </c>
      <c r="D14" s="20" t="s">
        <v>123</v>
      </c>
      <c r="E14" s="23" t="s">
        <v>69</v>
      </c>
    </row>
    <row r="15" customFormat="false" ht="15" hidden="false" customHeight="true" outlineLevel="0" collapsed="false">
      <c r="A15" s="22" t="n">
        <v>14</v>
      </c>
      <c r="B15" s="30" t="s">
        <v>126</v>
      </c>
      <c r="C15" s="19" t="s">
        <v>131</v>
      </c>
      <c r="D15" s="19" t="s">
        <v>132</v>
      </c>
      <c r="E15" s="23" t="s">
        <v>69</v>
      </c>
    </row>
    <row r="16" customFormat="false" ht="15" hidden="false" customHeight="true" outlineLevel="0" collapsed="false">
      <c r="A16" s="22" t="n">
        <v>20</v>
      </c>
      <c r="B16" s="30" t="s">
        <v>126</v>
      </c>
      <c r="C16" s="19" t="s">
        <v>158</v>
      </c>
      <c r="D16" s="19" t="s">
        <v>159</v>
      </c>
      <c r="E16" s="29" t="s">
        <v>70</v>
      </c>
    </row>
    <row r="17" customFormat="false" ht="29.25" hidden="false" customHeight="true" outlineLevel="0" collapsed="false">
      <c r="A17" s="22" t="n">
        <v>21</v>
      </c>
      <c r="B17" s="30" t="s">
        <v>126</v>
      </c>
      <c r="C17" s="19" t="s">
        <v>162</v>
      </c>
      <c r="D17" s="19" t="s">
        <v>163</v>
      </c>
      <c r="E17" s="23" t="s">
        <v>69</v>
      </c>
    </row>
    <row r="18" customFormat="false" ht="15" hidden="false" customHeight="true" outlineLevel="0" collapsed="false">
      <c r="A18" s="22" t="n">
        <v>23</v>
      </c>
      <c r="B18" s="32" t="s">
        <v>166</v>
      </c>
      <c r="C18" s="19" t="s">
        <v>171</v>
      </c>
      <c r="D18" s="20" t="s">
        <v>172</v>
      </c>
      <c r="E18" s="23" t="s">
        <v>69</v>
      </c>
    </row>
    <row r="19" customFormat="false" ht="15" hidden="false" customHeight="true" outlineLevel="0" collapsed="false">
      <c r="A19" s="22" t="n">
        <v>24</v>
      </c>
      <c r="B19" s="32" t="s">
        <v>166</v>
      </c>
      <c r="C19" s="19" t="s">
        <v>177</v>
      </c>
      <c r="D19" s="19" t="s">
        <v>178</v>
      </c>
      <c r="E19" s="23" t="s">
        <v>69</v>
      </c>
    </row>
    <row r="20" customFormat="false" ht="15" hidden="false" customHeight="true" outlineLevel="0" collapsed="false">
      <c r="A20" s="22" t="n">
        <v>36</v>
      </c>
      <c r="B20" s="36" t="s">
        <v>228</v>
      </c>
      <c r="C20" s="19" t="s">
        <v>229</v>
      </c>
      <c r="D20" s="19" t="s">
        <v>230</v>
      </c>
      <c r="E20" s="23" t="s">
        <v>69</v>
      </c>
    </row>
    <row r="21" customFormat="false" ht="15" hidden="false" customHeight="true" outlineLevel="0" collapsed="false">
      <c r="A21" s="22" t="n">
        <v>37</v>
      </c>
      <c r="B21" s="36" t="s">
        <v>228</v>
      </c>
      <c r="C21" s="19" t="s">
        <v>233</v>
      </c>
      <c r="D21" s="19" t="s">
        <v>234</v>
      </c>
      <c r="E21" s="27" t="s">
        <v>102</v>
      </c>
    </row>
    <row r="22" customFormat="false" ht="29.25" hidden="false" customHeight="true" outlineLevel="0" collapsed="false">
      <c r="A22" s="22" t="n">
        <v>43</v>
      </c>
      <c r="B22" s="38" t="s">
        <v>258</v>
      </c>
      <c r="C22" s="19" t="s">
        <v>259</v>
      </c>
      <c r="D22" s="19" t="s">
        <v>260</v>
      </c>
      <c r="E22" s="23" t="s">
        <v>69</v>
      </c>
    </row>
    <row r="23" customFormat="false" ht="15" hidden="false" customHeight="true" outlineLevel="0" collapsed="false">
      <c r="A23" s="22" t="n">
        <v>44</v>
      </c>
      <c r="B23" s="38" t="s">
        <v>258</v>
      </c>
      <c r="C23" s="19" t="s">
        <v>263</v>
      </c>
      <c r="D23" s="19" t="s">
        <v>264</v>
      </c>
      <c r="E23" s="23" t="s">
        <v>69</v>
      </c>
    </row>
    <row r="25" customFormat="false" ht="19.5" hidden="false" customHeight="true" outlineLevel="0" collapsed="false">
      <c r="A25" s="63" t="s">
        <v>295</v>
      </c>
      <c r="B25" s="63"/>
      <c r="C25" s="63"/>
      <c r="D25" s="63"/>
      <c r="E25" s="63"/>
    </row>
    <row r="26" customFormat="false" ht="15" hidden="false" customHeight="true" outlineLevel="0" collapsed="false">
      <c r="A26" s="66" t="s">
        <v>296</v>
      </c>
      <c r="B26" s="66"/>
      <c r="C26" s="66"/>
      <c r="D26" s="66"/>
      <c r="E26" s="66"/>
    </row>
    <row r="27" customFormat="false" ht="15" hidden="false" customHeight="true" outlineLevel="0" collapsed="false">
      <c r="A27" s="65" t="s">
        <v>51</v>
      </c>
      <c r="B27" s="65" t="s">
        <v>52</v>
      </c>
      <c r="C27" s="65" t="s">
        <v>53</v>
      </c>
      <c r="D27" s="65" t="s">
        <v>54</v>
      </c>
      <c r="E27" s="65" t="s">
        <v>58</v>
      </c>
    </row>
    <row r="28" customFormat="false" ht="15" hidden="false" customHeight="true" outlineLevel="0" collapsed="false">
      <c r="A28" s="22" t="n">
        <v>11</v>
      </c>
      <c r="B28" s="28" t="s">
        <v>108</v>
      </c>
      <c r="C28" s="19" t="s">
        <v>117</v>
      </c>
      <c r="D28" s="19" t="s">
        <v>118</v>
      </c>
      <c r="E28" s="27" t="s">
        <v>102</v>
      </c>
    </row>
    <row r="29" customFormat="false" ht="15" hidden="false" customHeight="true" outlineLevel="0" collapsed="false">
      <c r="A29" s="22" t="n">
        <v>16</v>
      </c>
      <c r="B29" s="30" t="s">
        <v>126</v>
      </c>
      <c r="C29" s="19" t="s">
        <v>139</v>
      </c>
      <c r="D29" s="19" t="s">
        <v>140</v>
      </c>
      <c r="E29" s="27" t="s">
        <v>102</v>
      </c>
    </row>
    <row r="30" customFormat="false" ht="15" hidden="false" customHeight="true" outlineLevel="0" collapsed="false">
      <c r="A30" s="22" t="n">
        <v>22</v>
      </c>
      <c r="B30" s="32" t="s">
        <v>166</v>
      </c>
      <c r="C30" s="20" t="s">
        <v>167</v>
      </c>
      <c r="D30" s="19" t="s">
        <v>168</v>
      </c>
      <c r="E30" s="23" t="s">
        <v>69</v>
      </c>
    </row>
    <row r="31" customFormat="false" ht="15" hidden="false" customHeight="true" outlineLevel="0" collapsed="false">
      <c r="A31" s="22" t="n">
        <v>45</v>
      </c>
      <c r="B31" s="38" t="s">
        <v>258</v>
      </c>
      <c r="C31" s="19" t="s">
        <v>267</v>
      </c>
      <c r="D31" s="19" t="s">
        <v>268</v>
      </c>
      <c r="E31" s="27" t="s">
        <v>102</v>
      </c>
    </row>
    <row r="33" customFormat="false" ht="19.5" hidden="false" customHeight="true" outlineLevel="0" collapsed="false">
      <c r="A33" s="63" t="s">
        <v>297</v>
      </c>
      <c r="B33" s="63"/>
      <c r="C33" s="63"/>
      <c r="D33" s="63"/>
      <c r="E33" s="63"/>
    </row>
    <row r="34" customFormat="false" ht="15" hidden="false" customHeight="true" outlineLevel="0" collapsed="false">
      <c r="A34" s="67" t="s">
        <v>298</v>
      </c>
      <c r="B34" s="67"/>
      <c r="C34" s="67"/>
      <c r="D34" s="67"/>
      <c r="E34" s="67"/>
    </row>
    <row r="35" customFormat="false" ht="15" hidden="false" customHeight="true" outlineLevel="0" collapsed="false">
      <c r="A35" s="65" t="s">
        <v>51</v>
      </c>
      <c r="B35" s="65" t="s">
        <v>52</v>
      </c>
      <c r="C35" s="65" t="s">
        <v>53</v>
      </c>
      <c r="D35" s="65" t="s">
        <v>54</v>
      </c>
      <c r="E35" s="65" t="s">
        <v>58</v>
      </c>
    </row>
    <row r="36" customFormat="false" ht="15" hidden="false" customHeight="true" outlineLevel="0" collapsed="false">
      <c r="A36" s="22" t="n">
        <v>5</v>
      </c>
      <c r="B36" s="18" t="s">
        <v>63</v>
      </c>
      <c r="C36" s="19" t="s">
        <v>89</v>
      </c>
      <c r="D36" s="19" t="s">
        <v>90</v>
      </c>
      <c r="E36" s="23" t="s">
        <v>69</v>
      </c>
    </row>
    <row r="37" customFormat="false" ht="15" hidden="false" customHeight="true" outlineLevel="0" collapsed="false">
      <c r="A37" s="22" t="n">
        <v>8</v>
      </c>
      <c r="B37" s="18" t="s">
        <v>63</v>
      </c>
      <c r="C37" s="19" t="s">
        <v>104</v>
      </c>
      <c r="D37" s="20" t="s">
        <v>105</v>
      </c>
      <c r="E37" s="23" t="s">
        <v>69</v>
      </c>
    </row>
    <row r="38" customFormat="false" ht="15" hidden="false" customHeight="true" outlineLevel="0" collapsed="false">
      <c r="A38" s="22" t="n">
        <v>25</v>
      </c>
      <c r="B38" s="32" t="s">
        <v>166</v>
      </c>
      <c r="C38" s="19" t="s">
        <v>181</v>
      </c>
      <c r="D38" s="19" t="s">
        <v>182</v>
      </c>
      <c r="E38" s="23" t="s">
        <v>69</v>
      </c>
    </row>
    <row r="39" customFormat="false" ht="15" hidden="false" customHeight="true" outlineLevel="0" collapsed="false">
      <c r="A39" s="22" t="n">
        <v>26</v>
      </c>
      <c r="B39" s="32" t="s">
        <v>166</v>
      </c>
      <c r="C39" s="19" t="s">
        <v>185</v>
      </c>
      <c r="D39" s="19" t="s">
        <v>186</v>
      </c>
      <c r="E39" s="23" t="s">
        <v>69</v>
      </c>
    </row>
    <row r="41" customFormat="false" ht="19.5" hidden="false" customHeight="true" outlineLevel="0" collapsed="false">
      <c r="A41" s="63" t="s">
        <v>299</v>
      </c>
      <c r="B41" s="63"/>
      <c r="C41" s="63"/>
      <c r="D41" s="63"/>
      <c r="E41" s="63"/>
    </row>
    <row r="42" customFormat="false" ht="15" hidden="false" customHeight="true" outlineLevel="0" collapsed="false">
      <c r="A42" s="68" t="s">
        <v>300</v>
      </c>
      <c r="B42" s="68"/>
      <c r="C42" s="68"/>
      <c r="D42" s="68"/>
      <c r="E42" s="68"/>
    </row>
    <row r="43" customFormat="false" ht="15" hidden="false" customHeight="true" outlineLevel="0" collapsed="false">
      <c r="A43" s="65" t="s">
        <v>51</v>
      </c>
      <c r="B43" s="65" t="s">
        <v>52</v>
      </c>
      <c r="C43" s="65" t="s">
        <v>53</v>
      </c>
      <c r="D43" s="65" t="s">
        <v>54</v>
      </c>
      <c r="E43" s="65" t="s">
        <v>58</v>
      </c>
    </row>
    <row r="44" customFormat="false" ht="15" hidden="false" customHeight="true" outlineLevel="0" collapsed="false">
      <c r="A44" s="22" t="n">
        <v>3</v>
      </c>
      <c r="B44" s="18" t="s">
        <v>63</v>
      </c>
      <c r="C44" s="19" t="s">
        <v>78</v>
      </c>
      <c r="D44" s="20" t="s">
        <v>79</v>
      </c>
      <c r="E44" s="23" t="s">
        <v>69</v>
      </c>
    </row>
    <row r="45" customFormat="false" ht="15" hidden="false" customHeight="true" outlineLevel="0" collapsed="false">
      <c r="A45" s="22" t="n">
        <v>10</v>
      </c>
      <c r="B45" s="28" t="s">
        <v>108</v>
      </c>
      <c r="C45" s="19" t="s">
        <v>113</v>
      </c>
      <c r="D45" s="19" t="s">
        <v>114</v>
      </c>
      <c r="E45" s="23" t="s">
        <v>69</v>
      </c>
    </row>
    <row r="46" customFormat="false" ht="15" hidden="false" customHeight="true" outlineLevel="0" collapsed="false">
      <c r="A46" s="22" t="n">
        <v>13</v>
      </c>
      <c r="B46" s="30" t="s">
        <v>126</v>
      </c>
      <c r="C46" s="19" t="s">
        <v>127</v>
      </c>
      <c r="D46" s="19" t="s">
        <v>128</v>
      </c>
      <c r="E46" s="23" t="s">
        <v>69</v>
      </c>
    </row>
    <row r="47" customFormat="false" ht="15" hidden="false" customHeight="true" outlineLevel="0" collapsed="false">
      <c r="A47" s="22" t="n">
        <v>15</v>
      </c>
      <c r="B47" s="30" t="s">
        <v>126</v>
      </c>
      <c r="C47" s="19" t="s">
        <v>135</v>
      </c>
      <c r="D47" s="19" t="s">
        <v>136</v>
      </c>
      <c r="E47" s="23" t="s">
        <v>69</v>
      </c>
    </row>
    <row r="48" customFormat="false" ht="15" hidden="false" customHeight="true" outlineLevel="0" collapsed="false">
      <c r="A48" s="22" t="n">
        <v>17</v>
      </c>
      <c r="B48" s="30" t="s">
        <v>126</v>
      </c>
      <c r="C48" s="19" t="s">
        <v>143</v>
      </c>
      <c r="D48" s="19" t="s">
        <v>144</v>
      </c>
      <c r="E48" s="23" t="s">
        <v>69</v>
      </c>
    </row>
    <row r="49" customFormat="false" ht="29.25" hidden="false" customHeight="true" outlineLevel="0" collapsed="false">
      <c r="A49" s="22" t="n">
        <v>18</v>
      </c>
      <c r="B49" s="30" t="s">
        <v>126</v>
      </c>
      <c r="C49" s="19" t="s">
        <v>149</v>
      </c>
      <c r="D49" s="19" t="s">
        <v>150</v>
      </c>
      <c r="E49" s="23" t="s">
        <v>69</v>
      </c>
    </row>
    <row r="50" customFormat="false" ht="15" hidden="false" customHeight="true" outlineLevel="0" collapsed="false">
      <c r="A50" s="22" t="n">
        <v>19</v>
      </c>
      <c r="B50" s="30" t="s">
        <v>126</v>
      </c>
      <c r="C50" s="19" t="s">
        <v>154</v>
      </c>
      <c r="D50" s="19" t="s">
        <v>155</v>
      </c>
      <c r="E50" s="27" t="s">
        <v>102</v>
      </c>
    </row>
    <row r="51" customFormat="false" ht="15" hidden="false" customHeight="true" outlineLevel="0" collapsed="false">
      <c r="A51" s="22" t="n">
        <v>27</v>
      </c>
      <c r="B51" s="34" t="s">
        <v>189</v>
      </c>
      <c r="C51" s="20" t="s">
        <v>190</v>
      </c>
      <c r="D51" s="19" t="s">
        <v>191</v>
      </c>
      <c r="E51" s="21" t="s">
        <v>174</v>
      </c>
    </row>
    <row r="52" customFormat="false" ht="15" hidden="false" customHeight="true" outlineLevel="0" collapsed="false">
      <c r="A52" s="22" t="n">
        <v>28</v>
      </c>
      <c r="B52" s="34" t="s">
        <v>189</v>
      </c>
      <c r="C52" s="19" t="s">
        <v>194</v>
      </c>
      <c r="D52" s="19" t="s">
        <v>195</v>
      </c>
      <c r="E52" s="21" t="s">
        <v>174</v>
      </c>
    </row>
    <row r="53" customFormat="false" ht="15" hidden="false" customHeight="true" outlineLevel="0" collapsed="false">
      <c r="A53" s="22" t="n">
        <v>29</v>
      </c>
      <c r="B53" s="34" t="s">
        <v>189</v>
      </c>
      <c r="C53" s="19" t="s">
        <v>198</v>
      </c>
      <c r="D53" s="19" t="s">
        <v>199</v>
      </c>
      <c r="E53" s="21" t="s">
        <v>174</v>
      </c>
    </row>
    <row r="54" customFormat="false" ht="15" hidden="false" customHeight="true" outlineLevel="0" collapsed="false">
      <c r="A54" s="22" t="n">
        <v>30</v>
      </c>
      <c r="B54" s="34" t="s">
        <v>189</v>
      </c>
      <c r="C54" s="19" t="s">
        <v>203</v>
      </c>
      <c r="D54" s="19" t="s">
        <v>204</v>
      </c>
      <c r="E54" s="23" t="s">
        <v>69</v>
      </c>
    </row>
    <row r="55" customFormat="false" ht="15" hidden="false" customHeight="true" outlineLevel="0" collapsed="false">
      <c r="A55" s="22" t="n">
        <v>31</v>
      </c>
      <c r="B55" s="34" t="s">
        <v>189</v>
      </c>
      <c r="C55" s="19" t="s">
        <v>207</v>
      </c>
      <c r="D55" s="19" t="s">
        <v>208</v>
      </c>
      <c r="E55" s="21" t="s">
        <v>174</v>
      </c>
    </row>
    <row r="56" customFormat="false" ht="15" hidden="false" customHeight="true" outlineLevel="0" collapsed="false">
      <c r="A56" s="22" t="n">
        <v>32</v>
      </c>
      <c r="B56" s="35" t="s">
        <v>211</v>
      </c>
      <c r="C56" s="19" t="s">
        <v>212</v>
      </c>
      <c r="D56" s="19" t="s">
        <v>213</v>
      </c>
      <c r="E56" s="27" t="s">
        <v>102</v>
      </c>
    </row>
    <row r="57" customFormat="false" ht="15" hidden="false" customHeight="true" outlineLevel="0" collapsed="false">
      <c r="A57" s="22" t="n">
        <v>33</v>
      </c>
      <c r="B57" s="35" t="s">
        <v>211</v>
      </c>
      <c r="C57" s="19" t="s">
        <v>216</v>
      </c>
      <c r="D57" s="19" t="s">
        <v>217</v>
      </c>
      <c r="E57" s="23" t="s">
        <v>69</v>
      </c>
    </row>
    <row r="58" customFormat="false" ht="15" hidden="false" customHeight="true" outlineLevel="0" collapsed="false">
      <c r="A58" s="22" t="n">
        <v>34</v>
      </c>
      <c r="B58" s="35" t="s">
        <v>211</v>
      </c>
      <c r="C58" s="19" t="s">
        <v>220</v>
      </c>
      <c r="D58" s="19" t="s">
        <v>221</v>
      </c>
      <c r="E58" s="27" t="s">
        <v>102</v>
      </c>
    </row>
    <row r="59" customFormat="false" ht="15" hidden="false" customHeight="true" outlineLevel="0" collapsed="false">
      <c r="A59" s="22" t="n">
        <v>35</v>
      </c>
      <c r="B59" s="35" t="s">
        <v>211</v>
      </c>
      <c r="C59" s="19" t="s">
        <v>224</v>
      </c>
      <c r="D59" s="19" t="s">
        <v>225</v>
      </c>
      <c r="E59" s="23" t="s">
        <v>69</v>
      </c>
    </row>
    <row r="60" customFormat="false" ht="15" hidden="false" customHeight="true" outlineLevel="0" collapsed="false">
      <c r="A60" s="22" t="n">
        <v>38</v>
      </c>
      <c r="B60" s="36" t="s">
        <v>228</v>
      </c>
      <c r="C60" s="19" t="s">
        <v>237</v>
      </c>
      <c r="D60" s="19" t="s">
        <v>238</v>
      </c>
      <c r="E60" s="27" t="s">
        <v>102</v>
      </c>
    </row>
    <row r="61" customFormat="false" ht="15" hidden="false" customHeight="true" outlineLevel="0" collapsed="false">
      <c r="A61" s="22" t="n">
        <v>39</v>
      </c>
      <c r="B61" s="37" t="s">
        <v>241</v>
      </c>
      <c r="C61" s="19" t="s">
        <v>242</v>
      </c>
      <c r="D61" s="19" t="s">
        <v>243</v>
      </c>
      <c r="E61" s="29" t="s">
        <v>70</v>
      </c>
    </row>
    <row r="62" customFormat="false" ht="15" hidden="false" customHeight="true" outlineLevel="0" collapsed="false">
      <c r="A62" s="22" t="n">
        <v>40</v>
      </c>
      <c r="B62" s="37" t="s">
        <v>241</v>
      </c>
      <c r="C62" s="19" t="s">
        <v>246</v>
      </c>
      <c r="D62" s="19" t="s">
        <v>247</v>
      </c>
      <c r="E62" s="29" t="s">
        <v>70</v>
      </c>
    </row>
    <row r="63" customFormat="false" ht="15" hidden="false" customHeight="true" outlineLevel="0" collapsed="false">
      <c r="A63" s="22" t="n">
        <v>41</v>
      </c>
      <c r="B63" s="37" t="s">
        <v>241</v>
      </c>
      <c r="C63" s="19" t="s">
        <v>250</v>
      </c>
      <c r="D63" s="19" t="s">
        <v>251</v>
      </c>
      <c r="E63" s="29" t="s">
        <v>70</v>
      </c>
    </row>
    <row r="64" customFormat="false" ht="15" hidden="false" customHeight="true" outlineLevel="0" collapsed="false">
      <c r="A64" s="22" t="n">
        <v>42</v>
      </c>
      <c r="B64" s="37" t="s">
        <v>241</v>
      </c>
      <c r="C64" s="20" t="s">
        <v>254</v>
      </c>
      <c r="D64" s="20" t="s">
        <v>255</v>
      </c>
      <c r="E64" s="27" t="s">
        <v>102</v>
      </c>
    </row>
    <row r="65" customFormat="false" ht="15" hidden="false" customHeight="true" outlineLevel="0" collapsed="false">
      <c r="A65" s="22" t="n">
        <v>46</v>
      </c>
      <c r="B65" s="38" t="s">
        <v>258</v>
      </c>
      <c r="C65" s="19" t="s">
        <v>271</v>
      </c>
      <c r="D65" s="19" t="s">
        <v>272</v>
      </c>
      <c r="E65" s="21" t="s">
        <v>174</v>
      </c>
    </row>
  </sheetData>
  <mergeCells count="10">
    <mergeCell ref="A1:E1"/>
    <mergeCell ref="A3:E3"/>
    <mergeCell ref="A5:E5"/>
    <mergeCell ref="A6:E6"/>
    <mergeCell ref="A25:E25"/>
    <mergeCell ref="A26:E26"/>
    <mergeCell ref="A33:E33"/>
    <mergeCell ref="A34:E34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50"/>
    <col collapsed="false" customWidth="true" hidden="false" outlineLevel="0" max="4" min="4" style="1" width="30"/>
    <col collapsed="false" customWidth="true" hidden="false" outlineLevel="0" max="6" min="5" style="1" width="14"/>
  </cols>
  <sheetData>
    <row r="1" customFormat="false" ht="23.25" hidden="false" customHeight="true" outlineLevel="0" collapsed="false">
      <c r="A1" s="39" t="s">
        <v>301</v>
      </c>
      <c r="B1" s="39"/>
      <c r="C1" s="39"/>
      <c r="D1" s="39"/>
      <c r="E1" s="39"/>
      <c r="F1" s="39"/>
    </row>
    <row r="3" customFormat="false" ht="13.5" hidden="false" customHeight="true" outlineLevel="0" collapsed="false">
      <c r="A3" s="62" t="s">
        <v>302</v>
      </c>
      <c r="B3" s="62"/>
      <c r="C3" s="62"/>
      <c r="D3" s="62"/>
      <c r="E3" s="62"/>
      <c r="F3" s="62"/>
    </row>
    <row r="5" customFormat="false" ht="27.75" hidden="false" customHeight="true" outlineLevel="0" collapsed="false">
      <c r="A5" s="5" t="s">
        <v>303</v>
      </c>
      <c r="B5" s="5" t="s">
        <v>304</v>
      </c>
      <c r="C5" s="5" t="s">
        <v>305</v>
      </c>
      <c r="D5" s="5" t="s">
        <v>306</v>
      </c>
      <c r="E5" s="5" t="s">
        <v>56</v>
      </c>
      <c r="F5" s="5" t="s">
        <v>307</v>
      </c>
    </row>
    <row r="6" customFormat="false" ht="15" hidden="false" customHeight="true" outlineLevel="0" collapsed="false">
      <c r="A6" s="69" t="s">
        <v>308</v>
      </c>
      <c r="B6" s="17" t="s">
        <v>309</v>
      </c>
      <c r="C6" s="19" t="s">
        <v>310</v>
      </c>
      <c r="D6" s="19" t="s">
        <v>311</v>
      </c>
      <c r="E6" s="22" t="s">
        <v>67</v>
      </c>
      <c r="F6" s="17" t="s">
        <v>312</v>
      </c>
    </row>
    <row r="7" customFormat="false" ht="15" hidden="false" customHeight="true" outlineLevel="0" collapsed="false">
      <c r="A7" s="69" t="s">
        <v>263</v>
      </c>
      <c r="B7" s="17" t="s">
        <v>313</v>
      </c>
      <c r="C7" s="19" t="s">
        <v>314</v>
      </c>
      <c r="D7" s="19" t="s">
        <v>315</v>
      </c>
      <c r="E7" s="22" t="s">
        <v>67</v>
      </c>
      <c r="F7" s="17" t="s">
        <v>316</v>
      </c>
    </row>
    <row r="8" customFormat="false" ht="15" hidden="false" customHeight="true" outlineLevel="0" collapsed="false">
      <c r="A8" s="69" t="s">
        <v>317</v>
      </c>
      <c r="B8" s="17" t="s">
        <v>318</v>
      </c>
      <c r="C8" s="20" t="s">
        <v>319</v>
      </c>
      <c r="D8" s="19" t="s">
        <v>320</v>
      </c>
      <c r="E8" s="22" t="s">
        <v>120</v>
      </c>
      <c r="F8" s="17" t="s">
        <v>321</v>
      </c>
    </row>
    <row r="9" customFormat="false" ht="15" hidden="false" customHeight="true" outlineLevel="0" collapsed="false">
      <c r="A9" s="69" t="s">
        <v>322</v>
      </c>
      <c r="B9" s="17" t="s">
        <v>323</v>
      </c>
      <c r="C9" s="19" t="s">
        <v>324</v>
      </c>
      <c r="D9" s="19" t="s">
        <v>325</v>
      </c>
      <c r="E9" s="22" t="s">
        <v>67</v>
      </c>
      <c r="F9" s="17" t="s">
        <v>316</v>
      </c>
    </row>
    <row r="10" customFormat="false" ht="15" hidden="false" customHeight="true" outlineLevel="0" collapsed="false">
      <c r="A10" s="69" t="s">
        <v>326</v>
      </c>
      <c r="B10" s="17" t="s">
        <v>327</v>
      </c>
      <c r="C10" s="19" t="s">
        <v>328</v>
      </c>
      <c r="D10" s="19" t="s">
        <v>329</v>
      </c>
      <c r="E10" s="22" t="s">
        <v>67</v>
      </c>
      <c r="F10" s="17" t="s">
        <v>330</v>
      </c>
    </row>
    <row r="11" customFormat="false" ht="15" hidden="false" customHeight="true" outlineLevel="0" collapsed="false">
      <c r="A11" s="69" t="s">
        <v>331</v>
      </c>
      <c r="B11" s="17" t="s">
        <v>332</v>
      </c>
      <c r="C11" s="20" t="s">
        <v>333</v>
      </c>
      <c r="D11" s="19" t="s">
        <v>334</v>
      </c>
      <c r="E11" s="22" t="s">
        <v>81</v>
      </c>
      <c r="F11" s="22" t="s">
        <v>335</v>
      </c>
    </row>
    <row r="12" customFormat="false" ht="15" hidden="false" customHeight="true" outlineLevel="0" collapsed="false">
      <c r="A12" s="69" t="s">
        <v>336</v>
      </c>
      <c r="B12" s="17" t="s">
        <v>337</v>
      </c>
      <c r="C12" s="19" t="s">
        <v>338</v>
      </c>
      <c r="D12" s="19" t="s">
        <v>339</v>
      </c>
      <c r="E12" s="22" t="s">
        <v>81</v>
      </c>
      <c r="F12" s="17" t="s">
        <v>321</v>
      </c>
    </row>
    <row r="13" customFormat="false" ht="15" hidden="false" customHeight="true" outlineLevel="0" collapsed="false">
      <c r="A13" s="69" t="s">
        <v>340</v>
      </c>
      <c r="B13" s="17" t="s">
        <v>341</v>
      </c>
      <c r="C13" s="19" t="s">
        <v>342</v>
      </c>
      <c r="D13" s="19" t="s">
        <v>343</v>
      </c>
      <c r="E13" s="22" t="s">
        <v>120</v>
      </c>
      <c r="F13" s="17" t="s">
        <v>344</v>
      </c>
    </row>
    <row r="14" customFormat="false" ht="15" hidden="false" customHeight="true" outlineLevel="0" collapsed="false">
      <c r="A14" s="69" t="s">
        <v>345</v>
      </c>
      <c r="B14" s="17" t="s">
        <v>346</v>
      </c>
      <c r="C14" s="19" t="s">
        <v>347</v>
      </c>
      <c r="D14" s="19" t="s">
        <v>348</v>
      </c>
      <c r="E14" s="22" t="s">
        <v>67</v>
      </c>
      <c r="F14" s="17" t="s">
        <v>349</v>
      </c>
    </row>
    <row r="15" customFormat="false" ht="15" hidden="false" customHeight="true" outlineLevel="0" collapsed="false">
      <c r="A15" s="69" t="s">
        <v>350</v>
      </c>
      <c r="B15" s="17" t="s">
        <v>351</v>
      </c>
      <c r="C15" s="19" t="s">
        <v>352</v>
      </c>
      <c r="D15" s="19" t="s">
        <v>353</v>
      </c>
      <c r="E15" s="22" t="s">
        <v>81</v>
      </c>
      <c r="F15" s="22" t="s">
        <v>354</v>
      </c>
    </row>
    <row r="17" customFormat="false" ht="15" hidden="false" customHeight="true" outlineLevel="0" collapsed="false">
      <c r="A17" s="52" t="s">
        <v>355</v>
      </c>
      <c r="B17" s="52"/>
      <c r="C17" s="52"/>
      <c r="D17" s="52"/>
      <c r="E17" s="52"/>
      <c r="F17" s="52"/>
    </row>
    <row r="19" customFormat="false" ht="16.5" hidden="false" customHeight="true" outlineLevel="0" collapsed="false">
      <c r="A19" s="70" t="s">
        <v>356</v>
      </c>
      <c r="B19" s="70" t="s">
        <v>357</v>
      </c>
    </row>
    <row r="20" customFormat="false" ht="29.25" hidden="false" customHeight="true" outlineLevel="0" collapsed="false">
      <c r="A20" s="19" t="s">
        <v>358</v>
      </c>
      <c r="B20" s="19" t="s">
        <v>359</v>
      </c>
      <c r="C20" s="19"/>
      <c r="D20" s="19"/>
      <c r="E20" s="19"/>
      <c r="F20" s="19"/>
    </row>
    <row r="21" customFormat="false" ht="29.25" hidden="false" customHeight="true" outlineLevel="0" collapsed="false">
      <c r="A21" s="19" t="s">
        <v>360</v>
      </c>
      <c r="B21" s="19" t="s">
        <v>361</v>
      </c>
      <c r="C21" s="19"/>
      <c r="D21" s="19"/>
      <c r="E21" s="19"/>
      <c r="F21" s="19"/>
    </row>
    <row r="22" customFormat="false" ht="43.5" hidden="false" customHeight="true" outlineLevel="0" collapsed="false">
      <c r="A22" s="19" t="s">
        <v>362</v>
      </c>
      <c r="B22" s="19" t="s">
        <v>363</v>
      </c>
      <c r="C22" s="19"/>
      <c r="D22" s="19"/>
      <c r="E22" s="19"/>
      <c r="F22" s="19"/>
    </row>
    <row r="23" customFormat="false" ht="29.25" hidden="false" customHeight="true" outlineLevel="0" collapsed="false">
      <c r="A23" s="19" t="s">
        <v>364</v>
      </c>
      <c r="B23" s="19" t="s">
        <v>365</v>
      </c>
      <c r="C23" s="19"/>
      <c r="D23" s="19"/>
      <c r="E23" s="19"/>
      <c r="F23" s="19"/>
    </row>
    <row r="24" customFormat="false" ht="29.25" hidden="false" customHeight="true" outlineLevel="0" collapsed="false">
      <c r="A24" s="19" t="s">
        <v>366</v>
      </c>
      <c r="B24" s="19" t="s">
        <v>367</v>
      </c>
      <c r="C24" s="19"/>
      <c r="D24" s="19"/>
      <c r="E24" s="19"/>
      <c r="F24" s="19"/>
    </row>
  </sheetData>
  <mergeCells count="8">
    <mergeCell ref="A1:F1"/>
    <mergeCell ref="A3:F3"/>
    <mergeCell ref="A17:F17"/>
    <mergeCell ref="B20:F20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42"/>
    <col collapsed="false" customWidth="true" hidden="false" outlineLevel="0" max="6" min="5" style="1" width="12"/>
    <col collapsed="false" customWidth="true" hidden="false" outlineLevel="0" max="7" min="7" style="1" width="36"/>
  </cols>
  <sheetData>
    <row r="1" customFormat="false" ht="23.25" hidden="false" customHeight="true" outlineLevel="0" collapsed="false">
      <c r="A1" s="39" t="s">
        <v>368</v>
      </c>
      <c r="B1" s="39"/>
      <c r="C1" s="39"/>
      <c r="D1" s="39"/>
      <c r="E1" s="39"/>
      <c r="F1" s="39"/>
      <c r="G1" s="39"/>
    </row>
    <row r="2" customFormat="false" ht="15" hidden="false" customHeight="true" outlineLevel="0" collapsed="false">
      <c r="A2" s="71" t="s">
        <v>369</v>
      </c>
      <c r="B2" s="71"/>
      <c r="C2" s="71"/>
      <c r="D2" s="71"/>
      <c r="E2" s="71"/>
      <c r="F2" s="71"/>
      <c r="G2" s="71"/>
    </row>
    <row r="4" customFormat="false" ht="32.25" hidden="false" customHeight="true" outlineLevel="0" collapsed="false">
      <c r="A4" s="5" t="s">
        <v>370</v>
      </c>
      <c r="B4" s="5" t="s">
        <v>371</v>
      </c>
      <c r="C4" s="5" t="s">
        <v>372</v>
      </c>
      <c r="D4" s="5" t="s">
        <v>277</v>
      </c>
    </row>
    <row r="5" customFormat="false" ht="72" hidden="false" customHeight="true" outlineLevel="0" collapsed="false">
      <c r="A5" s="72" t="s">
        <v>72</v>
      </c>
      <c r="B5" s="19" t="s">
        <v>373</v>
      </c>
      <c r="C5" s="22" t="s">
        <v>374</v>
      </c>
      <c r="D5" s="50" t="n">
        <f aca="false">COUNTIF(策略池總表!K:K,"P0")</f>
        <v>13</v>
      </c>
    </row>
    <row r="6" customFormat="false" ht="57.75" hidden="false" customHeight="true" outlineLevel="0" collapsed="false">
      <c r="A6" s="73" t="s">
        <v>93</v>
      </c>
      <c r="B6" s="19" t="s">
        <v>375</v>
      </c>
      <c r="C6" s="22" t="s">
        <v>376</v>
      </c>
      <c r="D6" s="50" t="n">
        <f aca="false">COUNTIF(策略池總表!K:K,"P1")</f>
        <v>17</v>
      </c>
    </row>
    <row r="7" customFormat="false" ht="57.75" hidden="false" customHeight="true" outlineLevel="0" collapsed="false">
      <c r="A7" s="74" t="s">
        <v>147</v>
      </c>
      <c r="B7" s="19" t="s">
        <v>377</v>
      </c>
      <c r="C7" s="22" t="s">
        <v>378</v>
      </c>
      <c r="D7" s="50" t="n">
        <f aca="false">COUNTIF(策略池總表!K:K,"P2")</f>
        <v>11</v>
      </c>
    </row>
    <row r="8" customFormat="false" ht="57.75" hidden="false" customHeight="true" outlineLevel="0" collapsed="false">
      <c r="A8" s="75" t="s">
        <v>175</v>
      </c>
      <c r="B8" s="19" t="s">
        <v>379</v>
      </c>
      <c r="C8" s="22" t="s">
        <v>380</v>
      </c>
      <c r="D8" s="50" t="n">
        <f aca="false">COUNTIF(策略池總表!K:K,"P3")</f>
        <v>5</v>
      </c>
    </row>
    <row r="11" customFormat="false" ht="19.5" hidden="false" customHeight="true" outlineLevel="0" collapsed="false">
      <c r="A11" s="76" t="s">
        <v>381</v>
      </c>
      <c r="B11" s="76"/>
      <c r="C11" s="76"/>
      <c r="D11" s="76"/>
      <c r="E11" s="76"/>
      <c r="F11" s="76"/>
      <c r="G11" s="76"/>
    </row>
    <row r="12" customFormat="false" ht="15" hidden="false" customHeight="true" outlineLevel="0" collapsed="false">
      <c r="A12" s="65" t="s">
        <v>51</v>
      </c>
      <c r="B12" s="65" t="s">
        <v>52</v>
      </c>
      <c r="C12" s="65" t="s">
        <v>53</v>
      </c>
      <c r="D12" s="65" t="s">
        <v>54</v>
      </c>
      <c r="E12" s="65" t="s">
        <v>59</v>
      </c>
      <c r="F12" s="65" t="s">
        <v>382</v>
      </c>
      <c r="G12" s="65" t="s">
        <v>62</v>
      </c>
    </row>
    <row r="13" customFormat="false" ht="29.25" hidden="false" customHeight="true" outlineLevel="0" collapsed="false">
      <c r="A13" s="17" t="n">
        <v>1</v>
      </c>
      <c r="B13" s="22" t="s">
        <v>63</v>
      </c>
      <c r="C13" s="19" t="s">
        <v>64</v>
      </c>
      <c r="D13" s="20" t="s">
        <v>65</v>
      </c>
      <c r="E13" s="21" t="s">
        <v>70</v>
      </c>
      <c r="F13" s="21" t="s">
        <v>71</v>
      </c>
      <c r="G13" s="19" t="s">
        <v>73</v>
      </c>
    </row>
    <row r="14" customFormat="false" ht="29.25" hidden="false" customHeight="true" outlineLevel="0" collapsed="false">
      <c r="A14" s="17" t="n">
        <v>2</v>
      </c>
      <c r="B14" s="22" t="s">
        <v>63</v>
      </c>
      <c r="C14" s="19" t="s">
        <v>74</v>
      </c>
      <c r="D14" s="19" t="s">
        <v>75</v>
      </c>
      <c r="E14" s="21" t="s">
        <v>70</v>
      </c>
      <c r="F14" s="21" t="s">
        <v>71</v>
      </c>
      <c r="G14" s="19" t="s">
        <v>77</v>
      </c>
    </row>
    <row r="15" customFormat="false" ht="15" hidden="false" customHeight="true" outlineLevel="0" collapsed="false">
      <c r="A15" s="17" t="n">
        <v>3</v>
      </c>
      <c r="B15" s="22" t="s">
        <v>63</v>
      </c>
      <c r="C15" s="19" t="s">
        <v>78</v>
      </c>
      <c r="D15" s="20" t="s">
        <v>79</v>
      </c>
      <c r="E15" s="21" t="s">
        <v>70</v>
      </c>
      <c r="F15" s="21" t="s">
        <v>71</v>
      </c>
      <c r="G15" s="20" t="s">
        <v>83</v>
      </c>
    </row>
    <row r="16" customFormat="false" ht="15" hidden="false" customHeight="true" outlineLevel="0" collapsed="false">
      <c r="A16" s="17" t="n">
        <v>4</v>
      </c>
      <c r="B16" s="22" t="s">
        <v>63</v>
      </c>
      <c r="C16" s="20" t="s">
        <v>84</v>
      </c>
      <c r="D16" s="20" t="s">
        <v>85</v>
      </c>
      <c r="E16" s="21" t="s">
        <v>70</v>
      </c>
      <c r="F16" s="21" t="s">
        <v>71</v>
      </c>
      <c r="G16" s="20" t="s">
        <v>88</v>
      </c>
    </row>
    <row r="17" customFormat="false" ht="15" hidden="false" customHeight="true" outlineLevel="0" collapsed="false">
      <c r="A17" s="17" t="n">
        <v>9</v>
      </c>
      <c r="B17" s="22" t="s">
        <v>108</v>
      </c>
      <c r="C17" s="19" t="s">
        <v>109</v>
      </c>
      <c r="D17" s="19" t="s">
        <v>110</v>
      </c>
      <c r="E17" s="21" t="s">
        <v>70</v>
      </c>
      <c r="F17" s="21" t="s">
        <v>71</v>
      </c>
      <c r="G17" s="19" t="s">
        <v>112</v>
      </c>
    </row>
    <row r="18" customFormat="false" ht="15" hidden="false" customHeight="true" outlineLevel="0" collapsed="false">
      <c r="A18" s="17" t="n">
        <v>13</v>
      </c>
      <c r="B18" s="22" t="s">
        <v>126</v>
      </c>
      <c r="C18" s="19" t="s">
        <v>127</v>
      </c>
      <c r="D18" s="19" t="s">
        <v>128</v>
      </c>
      <c r="E18" s="21" t="s">
        <v>70</v>
      </c>
      <c r="F18" s="21" t="s">
        <v>71</v>
      </c>
      <c r="G18" s="20" t="s">
        <v>130</v>
      </c>
    </row>
    <row r="19" customFormat="false" ht="15" hidden="false" customHeight="true" outlineLevel="0" collapsed="false">
      <c r="A19" s="17" t="n">
        <v>14</v>
      </c>
      <c r="B19" s="22" t="s">
        <v>126</v>
      </c>
      <c r="C19" s="19" t="s">
        <v>131</v>
      </c>
      <c r="D19" s="19" t="s">
        <v>132</v>
      </c>
      <c r="E19" s="21" t="s">
        <v>70</v>
      </c>
      <c r="F19" s="21" t="s">
        <v>71</v>
      </c>
      <c r="G19" s="19" t="s">
        <v>134</v>
      </c>
    </row>
    <row r="20" customFormat="false" ht="15" hidden="false" customHeight="true" outlineLevel="0" collapsed="false">
      <c r="A20" s="17" t="n">
        <v>16</v>
      </c>
      <c r="B20" s="22" t="s">
        <v>126</v>
      </c>
      <c r="C20" s="19" t="s">
        <v>139</v>
      </c>
      <c r="D20" s="19" t="s">
        <v>140</v>
      </c>
      <c r="E20" s="21" t="s">
        <v>70</v>
      </c>
      <c r="F20" s="21" t="s">
        <v>71</v>
      </c>
      <c r="G20" s="19" t="s">
        <v>142</v>
      </c>
    </row>
    <row r="21" customFormat="false" ht="15" hidden="false" customHeight="true" outlineLevel="0" collapsed="false">
      <c r="A21" s="17" t="n">
        <v>27</v>
      </c>
      <c r="B21" s="22" t="s">
        <v>189</v>
      </c>
      <c r="C21" s="20" t="s">
        <v>190</v>
      </c>
      <c r="D21" s="19" t="s">
        <v>191</v>
      </c>
      <c r="E21" s="21" t="s">
        <v>70</v>
      </c>
      <c r="F21" s="21" t="s">
        <v>71</v>
      </c>
      <c r="G21" s="20" t="s">
        <v>193</v>
      </c>
    </row>
    <row r="22" customFormat="false" ht="15" hidden="false" customHeight="true" outlineLevel="0" collapsed="false">
      <c r="A22" s="17" t="n">
        <v>28</v>
      </c>
      <c r="B22" s="22" t="s">
        <v>189</v>
      </c>
      <c r="C22" s="19" t="s">
        <v>194</v>
      </c>
      <c r="D22" s="19" t="s">
        <v>195</v>
      </c>
      <c r="E22" s="21" t="s">
        <v>70</v>
      </c>
      <c r="F22" s="21" t="s">
        <v>71</v>
      </c>
      <c r="G22" s="19" t="s">
        <v>197</v>
      </c>
    </row>
    <row r="23" customFormat="false" ht="15" hidden="false" customHeight="true" outlineLevel="0" collapsed="false">
      <c r="A23" s="17" t="n">
        <v>39</v>
      </c>
      <c r="B23" s="22" t="s">
        <v>241</v>
      </c>
      <c r="C23" s="19" t="s">
        <v>242</v>
      </c>
      <c r="D23" s="19" t="s">
        <v>243</v>
      </c>
      <c r="E23" s="21" t="s">
        <v>70</v>
      </c>
      <c r="F23" s="21" t="s">
        <v>71</v>
      </c>
      <c r="G23" s="19" t="s">
        <v>245</v>
      </c>
    </row>
    <row r="24" customFormat="false" ht="15" hidden="false" customHeight="true" outlineLevel="0" collapsed="false">
      <c r="A24" s="17" t="n">
        <v>42</v>
      </c>
      <c r="B24" s="22" t="s">
        <v>241</v>
      </c>
      <c r="C24" s="20" t="s">
        <v>254</v>
      </c>
      <c r="D24" s="20" t="s">
        <v>255</v>
      </c>
      <c r="E24" s="21" t="s">
        <v>70</v>
      </c>
      <c r="F24" s="21" t="s">
        <v>71</v>
      </c>
      <c r="G24" s="20" t="s">
        <v>257</v>
      </c>
    </row>
    <row r="25" customFormat="false" ht="29.25" hidden="false" customHeight="true" outlineLevel="0" collapsed="false">
      <c r="A25" s="17" t="n">
        <v>43</v>
      </c>
      <c r="B25" s="22" t="s">
        <v>258</v>
      </c>
      <c r="C25" s="19" t="s">
        <v>259</v>
      </c>
      <c r="D25" s="19" t="s">
        <v>260</v>
      </c>
      <c r="E25" s="21" t="s">
        <v>70</v>
      </c>
      <c r="F25" s="21" t="s">
        <v>71</v>
      </c>
      <c r="G25" s="19" t="s">
        <v>262</v>
      </c>
    </row>
    <row r="27" customFormat="false" ht="19.5" hidden="false" customHeight="true" outlineLevel="0" collapsed="false">
      <c r="A27" s="77" t="s">
        <v>383</v>
      </c>
      <c r="B27" s="77"/>
      <c r="C27" s="77"/>
      <c r="D27" s="77"/>
      <c r="E27" s="77"/>
      <c r="F27" s="77"/>
      <c r="G27" s="77"/>
    </row>
    <row r="28" customFormat="false" ht="15" hidden="false" customHeight="true" outlineLevel="0" collapsed="false">
      <c r="A28" s="65" t="s">
        <v>51</v>
      </c>
      <c r="B28" s="65" t="s">
        <v>52</v>
      </c>
      <c r="C28" s="65" t="s">
        <v>53</v>
      </c>
      <c r="D28" s="65" t="s">
        <v>54</v>
      </c>
      <c r="E28" s="65" t="s">
        <v>59</v>
      </c>
      <c r="F28" s="65" t="s">
        <v>382</v>
      </c>
      <c r="G28" s="65" t="s">
        <v>62</v>
      </c>
    </row>
    <row r="29" customFormat="false" ht="15" hidden="false" customHeight="true" outlineLevel="0" collapsed="false">
      <c r="A29" s="17" t="n">
        <v>5</v>
      </c>
      <c r="B29" s="22" t="s">
        <v>63</v>
      </c>
      <c r="C29" s="19" t="s">
        <v>89</v>
      </c>
      <c r="D29" s="19" t="s">
        <v>90</v>
      </c>
      <c r="E29" s="21" t="s">
        <v>70</v>
      </c>
      <c r="F29" s="21" t="s">
        <v>71</v>
      </c>
      <c r="G29" s="19" t="s">
        <v>94</v>
      </c>
    </row>
    <row r="30" customFormat="false" ht="15" hidden="false" customHeight="true" outlineLevel="0" collapsed="false">
      <c r="A30" s="17" t="n">
        <v>6</v>
      </c>
      <c r="B30" s="22" t="s">
        <v>63</v>
      </c>
      <c r="C30" s="19" t="s">
        <v>95</v>
      </c>
      <c r="D30" s="19" t="s">
        <v>96</v>
      </c>
      <c r="E30" s="23" t="s">
        <v>69</v>
      </c>
      <c r="F30" s="21" t="s">
        <v>71</v>
      </c>
      <c r="G30" s="19" t="s">
        <v>98</v>
      </c>
    </row>
    <row r="31" customFormat="false" ht="15" hidden="false" customHeight="true" outlineLevel="0" collapsed="false">
      <c r="A31" s="17" t="n">
        <v>7</v>
      </c>
      <c r="B31" s="22" t="s">
        <v>63</v>
      </c>
      <c r="C31" s="19" t="s">
        <v>99</v>
      </c>
      <c r="D31" s="19" t="s">
        <v>100</v>
      </c>
      <c r="E31" s="21" t="s">
        <v>70</v>
      </c>
      <c r="F31" s="21" t="s">
        <v>71</v>
      </c>
      <c r="G31" s="19" t="s">
        <v>103</v>
      </c>
    </row>
    <row r="32" customFormat="false" ht="15" hidden="false" customHeight="true" outlineLevel="0" collapsed="false">
      <c r="A32" s="17" t="n">
        <v>8</v>
      </c>
      <c r="B32" s="22" t="s">
        <v>63</v>
      </c>
      <c r="C32" s="19" t="s">
        <v>104</v>
      </c>
      <c r="D32" s="20" t="s">
        <v>105</v>
      </c>
      <c r="E32" s="23" t="s">
        <v>69</v>
      </c>
      <c r="F32" s="21" t="s">
        <v>71</v>
      </c>
      <c r="G32" s="19" t="s">
        <v>107</v>
      </c>
    </row>
    <row r="33" customFormat="false" ht="15" hidden="false" customHeight="true" outlineLevel="0" collapsed="false">
      <c r="A33" s="17" t="n">
        <v>10</v>
      </c>
      <c r="B33" s="22" t="s">
        <v>108</v>
      </c>
      <c r="C33" s="19" t="s">
        <v>113</v>
      </c>
      <c r="D33" s="19" t="s">
        <v>114</v>
      </c>
      <c r="E33" s="21" t="s">
        <v>70</v>
      </c>
      <c r="F33" s="21" t="s">
        <v>71</v>
      </c>
      <c r="G33" s="19" t="s">
        <v>116</v>
      </c>
    </row>
    <row r="34" customFormat="false" ht="15" hidden="false" customHeight="true" outlineLevel="0" collapsed="false">
      <c r="A34" s="17" t="n">
        <v>11</v>
      </c>
      <c r="B34" s="22" t="s">
        <v>108</v>
      </c>
      <c r="C34" s="19" t="s">
        <v>117</v>
      </c>
      <c r="D34" s="19" t="s">
        <v>118</v>
      </c>
      <c r="E34" s="21" t="s">
        <v>70</v>
      </c>
      <c r="F34" s="21" t="s">
        <v>71</v>
      </c>
      <c r="G34" s="19" t="s">
        <v>121</v>
      </c>
    </row>
    <row r="35" customFormat="false" ht="15" hidden="false" customHeight="true" outlineLevel="0" collapsed="false">
      <c r="A35" s="17" t="n">
        <v>12</v>
      </c>
      <c r="B35" s="22" t="s">
        <v>108</v>
      </c>
      <c r="C35" s="19" t="s">
        <v>122</v>
      </c>
      <c r="D35" s="20" t="s">
        <v>123</v>
      </c>
      <c r="E35" s="21" t="s">
        <v>70</v>
      </c>
      <c r="F35" s="21" t="s">
        <v>71</v>
      </c>
      <c r="G35" s="19" t="s">
        <v>125</v>
      </c>
    </row>
    <row r="36" customFormat="false" ht="15" hidden="false" customHeight="true" outlineLevel="0" collapsed="false">
      <c r="A36" s="17" t="n">
        <v>15</v>
      </c>
      <c r="B36" s="22" t="s">
        <v>126</v>
      </c>
      <c r="C36" s="19" t="s">
        <v>135</v>
      </c>
      <c r="D36" s="19" t="s">
        <v>136</v>
      </c>
      <c r="E36" s="21" t="s">
        <v>70</v>
      </c>
      <c r="F36" s="21" t="s">
        <v>71</v>
      </c>
      <c r="G36" s="19" t="s">
        <v>138</v>
      </c>
    </row>
    <row r="37" customFormat="false" ht="15" hidden="false" customHeight="true" outlineLevel="0" collapsed="false">
      <c r="A37" s="17" t="n">
        <v>20</v>
      </c>
      <c r="B37" s="22" t="s">
        <v>126</v>
      </c>
      <c r="C37" s="19" t="s">
        <v>158</v>
      </c>
      <c r="D37" s="19" t="s">
        <v>159</v>
      </c>
      <c r="E37" s="21" t="s">
        <v>70</v>
      </c>
      <c r="F37" s="21" t="s">
        <v>71</v>
      </c>
      <c r="G37" s="19" t="s">
        <v>161</v>
      </c>
    </row>
    <row r="38" customFormat="false" ht="29.25" hidden="false" customHeight="true" outlineLevel="0" collapsed="false">
      <c r="A38" s="17" t="n">
        <v>21</v>
      </c>
      <c r="B38" s="22" t="s">
        <v>126</v>
      </c>
      <c r="C38" s="19" t="s">
        <v>162</v>
      </c>
      <c r="D38" s="19" t="s">
        <v>163</v>
      </c>
      <c r="E38" s="21" t="s">
        <v>70</v>
      </c>
      <c r="F38" s="21" t="s">
        <v>71</v>
      </c>
      <c r="G38" s="19" t="s">
        <v>165</v>
      </c>
    </row>
    <row r="39" customFormat="false" ht="15" hidden="false" customHeight="true" outlineLevel="0" collapsed="false">
      <c r="A39" s="17" t="n">
        <v>29</v>
      </c>
      <c r="B39" s="22" t="s">
        <v>189</v>
      </c>
      <c r="C39" s="19" t="s">
        <v>198</v>
      </c>
      <c r="D39" s="19" t="s">
        <v>199</v>
      </c>
      <c r="E39" s="21" t="s">
        <v>70</v>
      </c>
      <c r="F39" s="21" t="s">
        <v>71</v>
      </c>
      <c r="G39" s="20" t="s">
        <v>202</v>
      </c>
    </row>
    <row r="40" customFormat="false" ht="15" hidden="false" customHeight="true" outlineLevel="0" collapsed="false">
      <c r="A40" s="17" t="n">
        <v>31</v>
      </c>
      <c r="B40" s="22" t="s">
        <v>189</v>
      </c>
      <c r="C40" s="19" t="s">
        <v>207</v>
      </c>
      <c r="D40" s="19" t="s">
        <v>208</v>
      </c>
      <c r="E40" s="21" t="s">
        <v>70</v>
      </c>
      <c r="F40" s="21" t="s">
        <v>71</v>
      </c>
      <c r="G40" s="19" t="s">
        <v>210</v>
      </c>
    </row>
    <row r="41" customFormat="false" ht="15" hidden="false" customHeight="true" outlineLevel="0" collapsed="false">
      <c r="A41" s="17" t="n">
        <v>33</v>
      </c>
      <c r="B41" s="22" t="s">
        <v>211</v>
      </c>
      <c r="C41" s="19" t="s">
        <v>216</v>
      </c>
      <c r="D41" s="19" t="s">
        <v>217</v>
      </c>
      <c r="E41" s="21" t="s">
        <v>70</v>
      </c>
      <c r="F41" s="21" t="s">
        <v>71</v>
      </c>
      <c r="G41" s="19" t="s">
        <v>219</v>
      </c>
    </row>
    <row r="42" customFormat="false" ht="15" hidden="false" customHeight="true" outlineLevel="0" collapsed="false">
      <c r="A42" s="17" t="n">
        <v>35</v>
      </c>
      <c r="B42" s="22" t="s">
        <v>211</v>
      </c>
      <c r="C42" s="19" t="s">
        <v>224</v>
      </c>
      <c r="D42" s="19" t="s">
        <v>225</v>
      </c>
      <c r="E42" s="21" t="s">
        <v>70</v>
      </c>
      <c r="F42" s="21" t="s">
        <v>71</v>
      </c>
      <c r="G42" s="19" t="s">
        <v>227</v>
      </c>
    </row>
    <row r="43" customFormat="false" ht="15" hidden="false" customHeight="true" outlineLevel="0" collapsed="false">
      <c r="A43" s="17" t="n">
        <v>36</v>
      </c>
      <c r="B43" s="22" t="s">
        <v>228</v>
      </c>
      <c r="C43" s="19" t="s">
        <v>229</v>
      </c>
      <c r="D43" s="19" t="s">
        <v>230</v>
      </c>
      <c r="E43" s="21" t="s">
        <v>70</v>
      </c>
      <c r="F43" s="21" t="s">
        <v>71</v>
      </c>
      <c r="G43" s="19" t="s">
        <v>232</v>
      </c>
    </row>
    <row r="44" customFormat="false" ht="29.25" hidden="false" customHeight="true" outlineLevel="0" collapsed="false">
      <c r="A44" s="17" t="n">
        <v>44</v>
      </c>
      <c r="B44" s="22" t="s">
        <v>258</v>
      </c>
      <c r="C44" s="19" t="s">
        <v>263</v>
      </c>
      <c r="D44" s="19" t="s">
        <v>264</v>
      </c>
      <c r="E44" s="23" t="s">
        <v>69</v>
      </c>
      <c r="F44" s="23" t="s">
        <v>69</v>
      </c>
      <c r="G44" s="19" t="s">
        <v>266</v>
      </c>
    </row>
    <row r="45" customFormat="false" ht="29.25" hidden="false" customHeight="true" outlineLevel="0" collapsed="false">
      <c r="A45" s="17" t="n">
        <v>45</v>
      </c>
      <c r="B45" s="22" t="s">
        <v>258</v>
      </c>
      <c r="C45" s="19" t="s">
        <v>267</v>
      </c>
      <c r="D45" s="19" t="s">
        <v>268</v>
      </c>
      <c r="E45" s="23" t="s">
        <v>69</v>
      </c>
      <c r="F45" s="21" t="s">
        <v>71</v>
      </c>
      <c r="G45" s="19" t="s">
        <v>270</v>
      </c>
    </row>
    <row r="47" customFormat="false" ht="19.5" hidden="false" customHeight="true" outlineLevel="0" collapsed="false">
      <c r="A47" s="78" t="s">
        <v>384</v>
      </c>
      <c r="B47" s="78"/>
      <c r="C47" s="78"/>
      <c r="D47" s="78"/>
      <c r="E47" s="78"/>
      <c r="F47" s="78"/>
      <c r="G47" s="78"/>
    </row>
    <row r="48" customFormat="false" ht="15" hidden="false" customHeight="true" outlineLevel="0" collapsed="false">
      <c r="A48" s="65" t="s">
        <v>51</v>
      </c>
      <c r="B48" s="65" t="s">
        <v>52</v>
      </c>
      <c r="C48" s="65" t="s">
        <v>53</v>
      </c>
      <c r="D48" s="65" t="s">
        <v>54</v>
      </c>
      <c r="E48" s="65" t="s">
        <v>59</v>
      </c>
      <c r="F48" s="65" t="s">
        <v>382</v>
      </c>
      <c r="G48" s="65" t="s">
        <v>62</v>
      </c>
    </row>
    <row r="49" customFormat="false" ht="29.25" hidden="false" customHeight="true" outlineLevel="0" collapsed="false">
      <c r="A49" s="17" t="n">
        <v>17</v>
      </c>
      <c r="B49" s="22" t="s">
        <v>126</v>
      </c>
      <c r="C49" s="19" t="s">
        <v>143</v>
      </c>
      <c r="D49" s="19" t="s">
        <v>144</v>
      </c>
      <c r="E49" s="23" t="s">
        <v>69</v>
      </c>
      <c r="F49" s="23" t="s">
        <v>69</v>
      </c>
      <c r="G49" s="19" t="s">
        <v>148</v>
      </c>
    </row>
    <row r="50" customFormat="false" ht="29.25" hidden="false" customHeight="true" outlineLevel="0" collapsed="false">
      <c r="A50" s="17" t="n">
        <v>18</v>
      </c>
      <c r="B50" s="22" t="s">
        <v>126</v>
      </c>
      <c r="C50" s="19" t="s">
        <v>149</v>
      </c>
      <c r="D50" s="19" t="s">
        <v>150</v>
      </c>
      <c r="E50" s="21" t="s">
        <v>70</v>
      </c>
      <c r="F50" s="29" t="s">
        <v>152</v>
      </c>
      <c r="G50" s="19" t="s">
        <v>153</v>
      </c>
    </row>
    <row r="51" customFormat="false" ht="29.25" hidden="false" customHeight="true" outlineLevel="0" collapsed="false">
      <c r="A51" s="17" t="n">
        <v>19</v>
      </c>
      <c r="B51" s="22" t="s">
        <v>126</v>
      </c>
      <c r="C51" s="19" t="s">
        <v>154</v>
      </c>
      <c r="D51" s="19" t="s">
        <v>155</v>
      </c>
      <c r="E51" s="21" t="s">
        <v>70</v>
      </c>
      <c r="F51" s="29" t="s">
        <v>152</v>
      </c>
      <c r="G51" s="19" t="s">
        <v>157</v>
      </c>
    </row>
    <row r="52" customFormat="false" ht="15" hidden="false" customHeight="true" outlineLevel="0" collapsed="false">
      <c r="A52" s="17" t="n">
        <v>22</v>
      </c>
      <c r="B52" s="22" t="s">
        <v>166</v>
      </c>
      <c r="C52" s="20" t="s">
        <v>167</v>
      </c>
      <c r="D52" s="19" t="s">
        <v>168</v>
      </c>
      <c r="E52" s="23" t="s">
        <v>69</v>
      </c>
      <c r="F52" s="21" t="s">
        <v>71</v>
      </c>
      <c r="G52" s="20" t="s">
        <v>170</v>
      </c>
    </row>
    <row r="53" customFormat="false" ht="15" hidden="false" customHeight="true" outlineLevel="0" collapsed="false">
      <c r="A53" s="17" t="n">
        <v>25</v>
      </c>
      <c r="B53" s="22" t="s">
        <v>166</v>
      </c>
      <c r="C53" s="19" t="s">
        <v>181</v>
      </c>
      <c r="D53" s="19" t="s">
        <v>182</v>
      </c>
      <c r="E53" s="23" t="s">
        <v>69</v>
      </c>
      <c r="F53" s="21" t="s">
        <v>71</v>
      </c>
      <c r="G53" s="19" t="s">
        <v>184</v>
      </c>
    </row>
    <row r="54" customFormat="false" ht="15" hidden="false" customHeight="true" outlineLevel="0" collapsed="false">
      <c r="A54" s="17" t="n">
        <v>26</v>
      </c>
      <c r="B54" s="22" t="s">
        <v>166</v>
      </c>
      <c r="C54" s="19" t="s">
        <v>185</v>
      </c>
      <c r="D54" s="19" t="s">
        <v>186</v>
      </c>
      <c r="E54" s="23" t="s">
        <v>69</v>
      </c>
      <c r="F54" s="21" t="s">
        <v>71</v>
      </c>
      <c r="G54" s="19" t="s">
        <v>188</v>
      </c>
    </row>
    <row r="55" customFormat="false" ht="15" hidden="false" customHeight="true" outlineLevel="0" collapsed="false">
      <c r="A55" s="17" t="n">
        <v>34</v>
      </c>
      <c r="B55" s="22" t="s">
        <v>211</v>
      </c>
      <c r="C55" s="19" t="s">
        <v>220</v>
      </c>
      <c r="D55" s="19" t="s">
        <v>221</v>
      </c>
      <c r="E55" s="21" t="s">
        <v>70</v>
      </c>
      <c r="F55" s="21" t="s">
        <v>71</v>
      </c>
      <c r="G55" s="19" t="s">
        <v>223</v>
      </c>
    </row>
    <row r="56" customFormat="false" ht="15" hidden="false" customHeight="true" outlineLevel="0" collapsed="false">
      <c r="A56" s="17" t="n">
        <v>37</v>
      </c>
      <c r="B56" s="22" t="s">
        <v>228</v>
      </c>
      <c r="C56" s="19" t="s">
        <v>233</v>
      </c>
      <c r="D56" s="19" t="s">
        <v>234</v>
      </c>
      <c r="E56" s="23" t="s">
        <v>69</v>
      </c>
      <c r="F56" s="21" t="s">
        <v>71</v>
      </c>
      <c r="G56" s="19" t="s">
        <v>236</v>
      </c>
    </row>
    <row r="57" customFormat="false" ht="29.25" hidden="false" customHeight="true" outlineLevel="0" collapsed="false">
      <c r="A57" s="17" t="n">
        <v>38</v>
      </c>
      <c r="B57" s="22" t="s">
        <v>228</v>
      </c>
      <c r="C57" s="19" t="s">
        <v>237</v>
      </c>
      <c r="D57" s="19" t="s">
        <v>238</v>
      </c>
      <c r="E57" s="23" t="s">
        <v>69</v>
      </c>
      <c r="F57" s="23" t="s">
        <v>69</v>
      </c>
      <c r="G57" s="19" t="s">
        <v>240</v>
      </c>
    </row>
    <row r="58" customFormat="false" ht="15" hidden="false" customHeight="true" outlineLevel="0" collapsed="false">
      <c r="A58" s="17" t="n">
        <v>40</v>
      </c>
      <c r="B58" s="22" t="s">
        <v>241</v>
      </c>
      <c r="C58" s="19" t="s">
        <v>246</v>
      </c>
      <c r="D58" s="19" t="s">
        <v>247</v>
      </c>
      <c r="E58" s="23" t="s">
        <v>69</v>
      </c>
      <c r="F58" s="21" t="s">
        <v>71</v>
      </c>
      <c r="G58" s="19" t="s">
        <v>249</v>
      </c>
    </row>
    <row r="59" customFormat="false" ht="15" hidden="false" customHeight="true" outlineLevel="0" collapsed="false">
      <c r="A59" s="17" t="n">
        <v>41</v>
      </c>
      <c r="B59" s="22" t="s">
        <v>241</v>
      </c>
      <c r="C59" s="19" t="s">
        <v>250</v>
      </c>
      <c r="D59" s="19" t="s">
        <v>251</v>
      </c>
      <c r="E59" s="21" t="s">
        <v>70</v>
      </c>
      <c r="F59" s="21" t="s">
        <v>71</v>
      </c>
      <c r="G59" s="19" t="s">
        <v>253</v>
      </c>
    </row>
    <row r="61" customFormat="false" ht="19.5" hidden="false" customHeight="true" outlineLevel="0" collapsed="false">
      <c r="A61" s="79" t="s">
        <v>385</v>
      </c>
      <c r="B61" s="79"/>
      <c r="C61" s="79"/>
      <c r="D61" s="79"/>
      <c r="E61" s="79"/>
      <c r="F61" s="79"/>
      <c r="G61" s="79"/>
    </row>
    <row r="62" customFormat="false" ht="15" hidden="false" customHeight="true" outlineLevel="0" collapsed="false">
      <c r="A62" s="65" t="s">
        <v>51</v>
      </c>
      <c r="B62" s="65" t="s">
        <v>52</v>
      </c>
      <c r="C62" s="65" t="s">
        <v>53</v>
      </c>
      <c r="D62" s="65" t="s">
        <v>54</v>
      </c>
      <c r="E62" s="65" t="s">
        <v>59</v>
      </c>
      <c r="F62" s="65" t="s">
        <v>382</v>
      </c>
      <c r="G62" s="65" t="s">
        <v>62</v>
      </c>
    </row>
    <row r="63" customFormat="false" ht="15" hidden="false" customHeight="true" outlineLevel="0" collapsed="false">
      <c r="A63" s="17" t="n">
        <v>23</v>
      </c>
      <c r="B63" s="22" t="s">
        <v>166</v>
      </c>
      <c r="C63" s="19" t="s">
        <v>171</v>
      </c>
      <c r="D63" s="20" t="s">
        <v>172</v>
      </c>
      <c r="E63" s="27" t="s">
        <v>174</v>
      </c>
      <c r="F63" s="21" t="s">
        <v>71</v>
      </c>
      <c r="G63" s="19" t="s">
        <v>176</v>
      </c>
    </row>
    <row r="64" customFormat="false" ht="15" hidden="false" customHeight="true" outlineLevel="0" collapsed="false">
      <c r="A64" s="17" t="n">
        <v>24</v>
      </c>
      <c r="B64" s="22" t="s">
        <v>166</v>
      </c>
      <c r="C64" s="19" t="s">
        <v>177</v>
      </c>
      <c r="D64" s="19" t="s">
        <v>178</v>
      </c>
      <c r="E64" s="27" t="s">
        <v>174</v>
      </c>
      <c r="F64" s="21" t="s">
        <v>71</v>
      </c>
      <c r="G64" s="19" t="s">
        <v>180</v>
      </c>
    </row>
    <row r="65" customFormat="false" ht="15" hidden="false" customHeight="true" outlineLevel="0" collapsed="false">
      <c r="A65" s="17" t="n">
        <v>30</v>
      </c>
      <c r="B65" s="22" t="s">
        <v>189</v>
      </c>
      <c r="C65" s="19" t="s">
        <v>203</v>
      </c>
      <c r="D65" s="19" t="s">
        <v>204</v>
      </c>
      <c r="E65" s="23" t="s">
        <v>69</v>
      </c>
      <c r="F65" s="29" t="s">
        <v>152</v>
      </c>
      <c r="G65" s="19" t="s">
        <v>206</v>
      </c>
    </row>
    <row r="66" customFormat="false" ht="15" hidden="false" customHeight="true" outlineLevel="0" collapsed="false">
      <c r="A66" s="17" t="n">
        <v>32</v>
      </c>
      <c r="B66" s="22" t="s">
        <v>211</v>
      </c>
      <c r="C66" s="19" t="s">
        <v>212</v>
      </c>
      <c r="D66" s="19" t="s">
        <v>213</v>
      </c>
      <c r="E66" s="27" t="s">
        <v>174</v>
      </c>
      <c r="F66" s="29" t="s">
        <v>152</v>
      </c>
      <c r="G66" s="19" t="s">
        <v>215</v>
      </c>
    </row>
    <row r="67" customFormat="false" ht="15" hidden="false" customHeight="true" outlineLevel="0" collapsed="false">
      <c r="A67" s="17" t="n">
        <v>46</v>
      </c>
      <c r="B67" s="22" t="s">
        <v>258</v>
      </c>
      <c r="C67" s="19" t="s">
        <v>271</v>
      </c>
      <c r="D67" s="19" t="s">
        <v>272</v>
      </c>
      <c r="E67" s="23" t="s">
        <v>69</v>
      </c>
      <c r="F67" s="29" t="s">
        <v>152</v>
      </c>
      <c r="G67" s="19" t="s">
        <v>275</v>
      </c>
    </row>
  </sheetData>
  <mergeCells count="6">
    <mergeCell ref="A1:G1"/>
    <mergeCell ref="A2:G2"/>
    <mergeCell ref="A11:G11"/>
    <mergeCell ref="A27:G27"/>
    <mergeCell ref="A47:G47"/>
    <mergeCell ref="A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42"/>
    <col collapsed="false" customWidth="true" hidden="false" outlineLevel="0" max="8" min="7" style="0" width="14"/>
  </cols>
  <sheetData>
    <row r="1" customFormat="false" ht="23.85" hidden="false" customHeight="true" outlineLevel="0" collapsed="false">
      <c r="A1" s="80" t="s">
        <v>386</v>
      </c>
      <c r="B1" s="80"/>
      <c r="C1" s="80"/>
      <c r="D1" s="80"/>
      <c r="E1" s="80"/>
      <c r="F1" s="80"/>
      <c r="G1" s="80"/>
      <c r="H1" s="80"/>
    </row>
    <row r="2" customFormat="false" ht="15" hidden="false" customHeight="true" outlineLevel="0" collapsed="false">
      <c r="A2" s="81" t="s">
        <v>387</v>
      </c>
      <c r="B2" s="81"/>
      <c r="C2" s="81"/>
      <c r="D2" s="81"/>
      <c r="E2" s="81"/>
      <c r="F2" s="81"/>
      <c r="G2" s="81"/>
      <c r="H2" s="81"/>
    </row>
    <row r="4" customFormat="false" ht="25.5" hidden="false" customHeight="true" outlineLevel="0" collapsed="false">
      <c r="A4" s="82" t="s">
        <v>51</v>
      </c>
      <c r="B4" s="82" t="s">
        <v>53</v>
      </c>
      <c r="C4" s="82" t="s">
        <v>52</v>
      </c>
      <c r="D4" s="82" t="s">
        <v>388</v>
      </c>
      <c r="E4" s="82" t="s">
        <v>389</v>
      </c>
      <c r="F4" s="83" t="s">
        <v>390</v>
      </c>
      <c r="G4" s="82" t="s">
        <v>391</v>
      </c>
      <c r="H4" s="82" t="s">
        <v>392</v>
      </c>
    </row>
    <row r="5" customFormat="false" ht="23.85" hidden="false" customHeight="false" outlineLevel="0" collapsed="false">
      <c r="A5" s="17" t="n">
        <v>1</v>
      </c>
      <c r="B5" s="84" t="s">
        <v>64</v>
      </c>
      <c r="C5" s="85" t="s">
        <v>63</v>
      </c>
      <c r="D5" s="84" t="s">
        <v>393</v>
      </c>
      <c r="E5" s="20" t="s">
        <v>394</v>
      </c>
      <c r="F5" s="20" t="s">
        <v>395</v>
      </c>
      <c r="G5" s="85" t="s">
        <v>396</v>
      </c>
      <c r="H5" s="86" t="s">
        <v>397</v>
      </c>
    </row>
    <row r="6" customFormat="false" ht="15" hidden="false" customHeight="false" outlineLevel="0" collapsed="false">
      <c r="A6" s="17" t="n">
        <v>2</v>
      </c>
      <c r="B6" s="84" t="s">
        <v>74</v>
      </c>
      <c r="C6" s="85" t="s">
        <v>63</v>
      </c>
      <c r="D6" s="84" t="s">
        <v>398</v>
      </c>
      <c r="E6" s="20" t="s">
        <v>394</v>
      </c>
      <c r="F6" s="84" t="s">
        <v>399</v>
      </c>
      <c r="G6" s="85" t="s">
        <v>396</v>
      </c>
      <c r="H6" s="86" t="s">
        <v>397</v>
      </c>
    </row>
    <row r="7" customFormat="false" ht="15" hidden="false" customHeight="false" outlineLevel="0" collapsed="false">
      <c r="A7" s="17" t="n">
        <v>3</v>
      </c>
      <c r="B7" s="84" t="s">
        <v>78</v>
      </c>
      <c r="C7" s="85" t="s">
        <v>63</v>
      </c>
      <c r="D7" s="84" t="s">
        <v>400</v>
      </c>
      <c r="E7" s="20" t="s">
        <v>394</v>
      </c>
      <c r="F7" s="84" t="s">
        <v>399</v>
      </c>
      <c r="G7" s="85" t="s">
        <v>396</v>
      </c>
      <c r="H7" s="86" t="s">
        <v>397</v>
      </c>
    </row>
    <row r="8" customFormat="false" ht="15" hidden="false" customHeight="false" outlineLevel="0" collapsed="false">
      <c r="A8" s="17" t="n">
        <v>4</v>
      </c>
      <c r="B8" s="20" t="s">
        <v>84</v>
      </c>
      <c r="C8" s="85" t="s">
        <v>63</v>
      </c>
      <c r="D8" s="84" t="s">
        <v>401</v>
      </c>
      <c r="E8" s="20" t="s">
        <v>394</v>
      </c>
      <c r="F8" s="84" t="s">
        <v>399</v>
      </c>
      <c r="G8" s="85" t="s">
        <v>396</v>
      </c>
      <c r="H8" s="86" t="s">
        <v>397</v>
      </c>
    </row>
    <row r="9" customFormat="false" ht="15" hidden="false" customHeight="false" outlineLevel="0" collapsed="false">
      <c r="A9" s="17" t="n">
        <v>5</v>
      </c>
      <c r="B9" s="84" t="s">
        <v>89</v>
      </c>
      <c r="C9" s="85" t="s">
        <v>63</v>
      </c>
      <c r="D9" s="84" t="s">
        <v>402</v>
      </c>
      <c r="E9" s="20" t="s">
        <v>394</v>
      </c>
      <c r="F9" s="84" t="s">
        <v>399</v>
      </c>
      <c r="G9" s="85" t="s">
        <v>396</v>
      </c>
      <c r="H9" s="86" t="s">
        <v>397</v>
      </c>
    </row>
    <row r="10" customFormat="false" ht="15" hidden="false" customHeight="false" outlineLevel="0" collapsed="false">
      <c r="A10" s="17" t="n">
        <v>6</v>
      </c>
      <c r="B10" s="84" t="s">
        <v>95</v>
      </c>
      <c r="C10" s="85" t="s">
        <v>63</v>
      </c>
      <c r="D10" s="84" t="s">
        <v>403</v>
      </c>
      <c r="E10" s="20" t="s">
        <v>394</v>
      </c>
      <c r="F10" s="84" t="s">
        <v>399</v>
      </c>
      <c r="G10" s="85" t="s">
        <v>396</v>
      </c>
      <c r="H10" s="86" t="s">
        <v>397</v>
      </c>
    </row>
    <row r="11" customFormat="false" ht="15" hidden="false" customHeight="false" outlineLevel="0" collapsed="false">
      <c r="A11" s="17" t="n">
        <v>7</v>
      </c>
      <c r="B11" s="84" t="s">
        <v>99</v>
      </c>
      <c r="C11" s="85" t="s">
        <v>63</v>
      </c>
      <c r="D11" s="84" t="s">
        <v>404</v>
      </c>
      <c r="E11" s="20" t="s">
        <v>394</v>
      </c>
      <c r="F11" s="84" t="s">
        <v>399</v>
      </c>
      <c r="G11" s="85" t="s">
        <v>396</v>
      </c>
      <c r="H11" s="86" t="s">
        <v>397</v>
      </c>
    </row>
    <row r="12" customFormat="false" ht="15" hidden="false" customHeight="false" outlineLevel="0" collapsed="false">
      <c r="A12" s="17" t="n">
        <v>8</v>
      </c>
      <c r="B12" s="84" t="s">
        <v>104</v>
      </c>
      <c r="C12" s="85" t="s">
        <v>63</v>
      </c>
      <c r="D12" s="84" t="s">
        <v>405</v>
      </c>
      <c r="E12" s="20" t="s">
        <v>394</v>
      </c>
      <c r="F12" s="84" t="s">
        <v>399</v>
      </c>
      <c r="G12" s="85" t="s">
        <v>396</v>
      </c>
      <c r="H12" s="86" t="s">
        <v>397</v>
      </c>
    </row>
    <row r="13" customFormat="false" ht="15" hidden="false" customHeight="false" outlineLevel="0" collapsed="false">
      <c r="A13" s="17" t="n">
        <v>9</v>
      </c>
      <c r="B13" s="84" t="s">
        <v>109</v>
      </c>
      <c r="C13" s="85" t="s">
        <v>108</v>
      </c>
      <c r="D13" s="84" t="s">
        <v>406</v>
      </c>
      <c r="E13" s="20" t="s">
        <v>394</v>
      </c>
      <c r="F13" s="84" t="s">
        <v>399</v>
      </c>
      <c r="G13" s="85" t="s">
        <v>396</v>
      </c>
      <c r="H13" s="86" t="s">
        <v>397</v>
      </c>
    </row>
    <row r="14" customFormat="false" ht="15" hidden="false" customHeight="false" outlineLevel="0" collapsed="false">
      <c r="A14" s="17" t="n">
        <v>10</v>
      </c>
      <c r="B14" s="84" t="s">
        <v>113</v>
      </c>
      <c r="C14" s="85" t="s">
        <v>108</v>
      </c>
      <c r="D14" s="84" t="s">
        <v>407</v>
      </c>
      <c r="E14" s="20" t="s">
        <v>394</v>
      </c>
      <c r="F14" s="84" t="s">
        <v>399</v>
      </c>
      <c r="G14" s="85" t="s">
        <v>396</v>
      </c>
      <c r="H14" s="86" t="s">
        <v>397</v>
      </c>
    </row>
    <row r="15" customFormat="false" ht="15" hidden="false" customHeight="false" outlineLevel="0" collapsed="false">
      <c r="A15" s="17" t="n">
        <v>11</v>
      </c>
      <c r="B15" s="84" t="s">
        <v>117</v>
      </c>
      <c r="C15" s="85" t="s">
        <v>108</v>
      </c>
      <c r="D15" s="84" t="s">
        <v>408</v>
      </c>
      <c r="E15" s="20" t="s">
        <v>394</v>
      </c>
      <c r="F15" s="84" t="s">
        <v>399</v>
      </c>
      <c r="G15" s="85" t="s">
        <v>396</v>
      </c>
      <c r="H15" s="86" t="s">
        <v>397</v>
      </c>
    </row>
    <row r="16" customFormat="false" ht="15" hidden="false" customHeight="false" outlineLevel="0" collapsed="false">
      <c r="A16" s="17" t="n">
        <v>12</v>
      </c>
      <c r="B16" s="84" t="s">
        <v>122</v>
      </c>
      <c r="C16" s="85" t="s">
        <v>108</v>
      </c>
      <c r="D16" s="20" t="s">
        <v>409</v>
      </c>
      <c r="E16" s="20" t="s">
        <v>394</v>
      </c>
      <c r="F16" s="84" t="s">
        <v>399</v>
      </c>
      <c r="G16" s="85" t="s">
        <v>396</v>
      </c>
      <c r="H16" s="86" t="s">
        <v>397</v>
      </c>
    </row>
    <row r="17" customFormat="false" ht="15" hidden="false" customHeight="false" outlineLevel="0" collapsed="false">
      <c r="A17" s="17" t="n">
        <v>13</v>
      </c>
      <c r="B17" s="84" t="s">
        <v>127</v>
      </c>
      <c r="C17" s="85" t="s">
        <v>126</v>
      </c>
      <c r="D17" s="84" t="s">
        <v>410</v>
      </c>
      <c r="E17" s="20" t="s">
        <v>411</v>
      </c>
      <c r="F17" s="20" t="s">
        <v>412</v>
      </c>
      <c r="G17" s="85" t="s">
        <v>413</v>
      </c>
      <c r="H17" s="86" t="s">
        <v>397</v>
      </c>
    </row>
    <row r="18" customFormat="false" ht="15" hidden="false" customHeight="false" outlineLevel="0" collapsed="false">
      <c r="A18" s="17" t="n">
        <v>14</v>
      </c>
      <c r="B18" s="84" t="s">
        <v>131</v>
      </c>
      <c r="C18" s="85" t="s">
        <v>126</v>
      </c>
      <c r="D18" s="84" t="s">
        <v>414</v>
      </c>
      <c r="E18" s="20" t="s">
        <v>415</v>
      </c>
      <c r="F18" s="84" t="s">
        <v>399</v>
      </c>
      <c r="G18" s="85" t="s">
        <v>413</v>
      </c>
      <c r="H18" s="86" t="s">
        <v>397</v>
      </c>
    </row>
    <row r="19" customFormat="false" ht="15" hidden="false" customHeight="false" outlineLevel="0" collapsed="false">
      <c r="A19" s="17" t="n">
        <v>15</v>
      </c>
      <c r="B19" s="84" t="s">
        <v>135</v>
      </c>
      <c r="C19" s="85" t="s">
        <v>126</v>
      </c>
      <c r="D19" s="84" t="s">
        <v>416</v>
      </c>
      <c r="E19" s="20" t="s">
        <v>415</v>
      </c>
      <c r="F19" s="84" t="s">
        <v>399</v>
      </c>
      <c r="G19" s="85" t="s">
        <v>413</v>
      </c>
      <c r="H19" s="86" t="s">
        <v>397</v>
      </c>
    </row>
    <row r="20" customFormat="false" ht="15" hidden="false" customHeight="false" outlineLevel="0" collapsed="false">
      <c r="A20" s="17" t="n">
        <v>16</v>
      </c>
      <c r="B20" s="84" t="s">
        <v>139</v>
      </c>
      <c r="C20" s="85" t="s">
        <v>126</v>
      </c>
      <c r="D20" s="84" t="s">
        <v>417</v>
      </c>
      <c r="E20" s="20" t="s">
        <v>415</v>
      </c>
      <c r="F20" s="84" t="s">
        <v>399</v>
      </c>
      <c r="G20" s="85" t="s">
        <v>413</v>
      </c>
      <c r="H20" s="86" t="s">
        <v>397</v>
      </c>
    </row>
    <row r="21" customFormat="false" ht="23.85" hidden="false" customHeight="false" outlineLevel="0" collapsed="false">
      <c r="A21" s="17" t="n">
        <v>17</v>
      </c>
      <c r="B21" s="84" t="s">
        <v>143</v>
      </c>
      <c r="C21" s="85" t="s">
        <v>126</v>
      </c>
      <c r="D21" s="84" t="s">
        <v>418</v>
      </c>
      <c r="E21" s="84" t="s">
        <v>419</v>
      </c>
      <c r="F21" s="20" t="s">
        <v>420</v>
      </c>
      <c r="G21" s="85" t="s">
        <v>421</v>
      </c>
      <c r="H21" s="86" t="s">
        <v>397</v>
      </c>
    </row>
    <row r="22" customFormat="false" ht="29.85" hidden="false" customHeight="false" outlineLevel="0" collapsed="false">
      <c r="A22" s="17" t="n">
        <v>18</v>
      </c>
      <c r="B22" s="84" t="s">
        <v>149</v>
      </c>
      <c r="C22" s="85" t="s">
        <v>126</v>
      </c>
      <c r="D22" s="84" t="s">
        <v>422</v>
      </c>
      <c r="E22" s="20" t="s">
        <v>423</v>
      </c>
      <c r="F22" s="20" t="s">
        <v>424</v>
      </c>
      <c r="G22" s="85" t="s">
        <v>425</v>
      </c>
      <c r="H22" s="87" t="s">
        <v>426</v>
      </c>
    </row>
    <row r="23" customFormat="false" ht="15" hidden="false" customHeight="false" outlineLevel="0" collapsed="false">
      <c r="A23" s="17" t="n">
        <v>19</v>
      </c>
      <c r="B23" s="84" t="s">
        <v>154</v>
      </c>
      <c r="C23" s="85" t="s">
        <v>126</v>
      </c>
      <c r="D23" s="84" t="s">
        <v>427</v>
      </c>
      <c r="E23" s="20" t="s">
        <v>423</v>
      </c>
      <c r="F23" s="84" t="s">
        <v>399</v>
      </c>
      <c r="G23" s="85" t="s">
        <v>425</v>
      </c>
      <c r="H23" s="87" t="s">
        <v>426</v>
      </c>
    </row>
    <row r="24" customFormat="false" ht="23.85" hidden="false" customHeight="false" outlineLevel="0" collapsed="false">
      <c r="A24" s="17" t="n">
        <v>20</v>
      </c>
      <c r="B24" s="84" t="s">
        <v>158</v>
      </c>
      <c r="C24" s="85" t="s">
        <v>126</v>
      </c>
      <c r="D24" s="84" t="s">
        <v>428</v>
      </c>
      <c r="E24" s="20" t="s">
        <v>429</v>
      </c>
      <c r="F24" s="20" t="s">
        <v>430</v>
      </c>
      <c r="G24" s="85" t="s">
        <v>396</v>
      </c>
      <c r="H24" s="86" t="s">
        <v>397</v>
      </c>
    </row>
    <row r="25" customFormat="false" ht="29.85" hidden="false" customHeight="false" outlineLevel="0" collapsed="false">
      <c r="A25" s="17" t="n">
        <v>21</v>
      </c>
      <c r="B25" s="84" t="s">
        <v>162</v>
      </c>
      <c r="C25" s="85" t="s">
        <v>126</v>
      </c>
      <c r="D25" s="84" t="s">
        <v>431</v>
      </c>
      <c r="E25" s="20" t="s">
        <v>429</v>
      </c>
      <c r="F25" s="84" t="s">
        <v>399</v>
      </c>
      <c r="G25" s="85" t="s">
        <v>396</v>
      </c>
      <c r="H25" s="86" t="s">
        <v>397</v>
      </c>
    </row>
    <row r="26" customFormat="false" ht="15" hidden="false" customHeight="false" outlineLevel="0" collapsed="false">
      <c r="A26" s="17" t="n">
        <v>22</v>
      </c>
      <c r="B26" s="20" t="s">
        <v>167</v>
      </c>
      <c r="C26" s="85" t="s">
        <v>166</v>
      </c>
      <c r="D26" s="84" t="s">
        <v>432</v>
      </c>
      <c r="E26" s="20" t="s">
        <v>394</v>
      </c>
      <c r="F26" s="84" t="s">
        <v>399</v>
      </c>
      <c r="G26" s="85" t="s">
        <v>396</v>
      </c>
      <c r="H26" s="86" t="s">
        <v>397</v>
      </c>
    </row>
    <row r="27" customFormat="false" ht="15" hidden="false" customHeight="false" outlineLevel="0" collapsed="false">
      <c r="A27" s="17" t="n">
        <v>23</v>
      </c>
      <c r="B27" s="84" t="s">
        <v>171</v>
      </c>
      <c r="C27" s="85" t="s">
        <v>166</v>
      </c>
      <c r="D27" s="20" t="s">
        <v>433</v>
      </c>
      <c r="E27" s="20" t="s">
        <v>394</v>
      </c>
      <c r="F27" s="84" t="s">
        <v>399</v>
      </c>
      <c r="G27" s="85" t="s">
        <v>396</v>
      </c>
      <c r="H27" s="86" t="s">
        <v>397</v>
      </c>
    </row>
    <row r="28" customFormat="false" ht="15" hidden="false" customHeight="false" outlineLevel="0" collapsed="false">
      <c r="A28" s="17" t="n">
        <v>24</v>
      </c>
      <c r="B28" s="84" t="s">
        <v>177</v>
      </c>
      <c r="C28" s="85" t="s">
        <v>166</v>
      </c>
      <c r="D28" s="20" t="s">
        <v>434</v>
      </c>
      <c r="E28" s="20" t="s">
        <v>394</v>
      </c>
      <c r="F28" s="84" t="s">
        <v>399</v>
      </c>
      <c r="G28" s="85" t="s">
        <v>396</v>
      </c>
      <c r="H28" s="86" t="s">
        <v>397</v>
      </c>
    </row>
    <row r="29" customFormat="false" ht="15" hidden="false" customHeight="false" outlineLevel="0" collapsed="false">
      <c r="A29" s="17" t="n">
        <v>25</v>
      </c>
      <c r="B29" s="84" t="s">
        <v>181</v>
      </c>
      <c r="C29" s="85" t="s">
        <v>166</v>
      </c>
      <c r="D29" s="84" t="s">
        <v>435</v>
      </c>
      <c r="E29" s="20" t="s">
        <v>394</v>
      </c>
      <c r="F29" s="84" t="s">
        <v>399</v>
      </c>
      <c r="G29" s="85" t="s">
        <v>396</v>
      </c>
      <c r="H29" s="86" t="s">
        <v>397</v>
      </c>
    </row>
    <row r="30" customFormat="false" ht="15" hidden="false" customHeight="false" outlineLevel="0" collapsed="false">
      <c r="A30" s="17" t="n">
        <v>26</v>
      </c>
      <c r="B30" s="84" t="s">
        <v>185</v>
      </c>
      <c r="C30" s="85" t="s">
        <v>166</v>
      </c>
      <c r="D30" s="84" t="s">
        <v>436</v>
      </c>
      <c r="E30" s="20" t="s">
        <v>394</v>
      </c>
      <c r="F30" s="84" t="s">
        <v>399</v>
      </c>
      <c r="G30" s="85" t="s">
        <v>396</v>
      </c>
      <c r="H30" s="86" t="s">
        <v>397</v>
      </c>
    </row>
    <row r="31" customFormat="false" ht="23.85" hidden="false" customHeight="false" outlineLevel="0" collapsed="false">
      <c r="A31" s="17" t="n">
        <v>27</v>
      </c>
      <c r="B31" s="20" t="s">
        <v>190</v>
      </c>
      <c r="C31" s="85" t="s">
        <v>189</v>
      </c>
      <c r="D31" s="84" t="s">
        <v>437</v>
      </c>
      <c r="E31" s="84" t="s">
        <v>438</v>
      </c>
      <c r="F31" s="20" t="s">
        <v>439</v>
      </c>
      <c r="G31" s="85" t="s">
        <v>440</v>
      </c>
      <c r="H31" s="86" t="s">
        <v>397</v>
      </c>
    </row>
    <row r="32" customFormat="false" ht="23.85" hidden="false" customHeight="false" outlineLevel="0" collapsed="false">
      <c r="A32" s="17" t="n">
        <v>28</v>
      </c>
      <c r="B32" s="84" t="s">
        <v>194</v>
      </c>
      <c r="C32" s="85" t="s">
        <v>189</v>
      </c>
      <c r="D32" s="84" t="s">
        <v>441</v>
      </c>
      <c r="E32" s="84" t="s">
        <v>438</v>
      </c>
      <c r="F32" s="20" t="s">
        <v>442</v>
      </c>
      <c r="G32" s="85" t="s">
        <v>443</v>
      </c>
      <c r="H32" s="86" t="s">
        <v>397</v>
      </c>
    </row>
    <row r="33" customFormat="false" ht="23.85" hidden="false" customHeight="false" outlineLevel="0" collapsed="false">
      <c r="A33" s="17" t="n">
        <v>29</v>
      </c>
      <c r="B33" s="84" t="s">
        <v>444</v>
      </c>
      <c r="C33" s="85" t="s">
        <v>189</v>
      </c>
      <c r="D33" s="20" t="s">
        <v>445</v>
      </c>
      <c r="E33" s="84" t="s">
        <v>438</v>
      </c>
      <c r="F33" s="20" t="s">
        <v>439</v>
      </c>
      <c r="G33" s="85" t="s">
        <v>446</v>
      </c>
      <c r="H33" s="86" t="s">
        <v>397</v>
      </c>
    </row>
    <row r="34" customFormat="false" ht="15" hidden="false" customHeight="false" outlineLevel="0" collapsed="false">
      <c r="A34" s="17" t="n">
        <v>30</v>
      </c>
      <c r="B34" s="84" t="s">
        <v>447</v>
      </c>
      <c r="C34" s="85" t="s">
        <v>189</v>
      </c>
      <c r="D34" s="84" t="s">
        <v>448</v>
      </c>
      <c r="E34" s="84" t="s">
        <v>449</v>
      </c>
      <c r="F34" s="84" t="s">
        <v>450</v>
      </c>
      <c r="G34" s="85" t="s">
        <v>451</v>
      </c>
      <c r="H34" s="88" t="s">
        <v>452</v>
      </c>
    </row>
    <row r="35" customFormat="false" ht="23.85" hidden="false" customHeight="false" outlineLevel="0" collapsed="false">
      <c r="A35" s="17" t="n">
        <v>31</v>
      </c>
      <c r="B35" s="84" t="s">
        <v>207</v>
      </c>
      <c r="C35" s="85" t="s">
        <v>189</v>
      </c>
      <c r="D35" s="84" t="s">
        <v>453</v>
      </c>
      <c r="E35" s="84" t="s">
        <v>438</v>
      </c>
      <c r="F35" s="20" t="s">
        <v>454</v>
      </c>
      <c r="G35" s="85" t="s">
        <v>455</v>
      </c>
      <c r="H35" s="86" t="s">
        <v>397</v>
      </c>
    </row>
    <row r="36" customFormat="false" ht="29.85" hidden="false" customHeight="false" outlineLevel="0" collapsed="false">
      <c r="A36" s="17" t="n">
        <v>32</v>
      </c>
      <c r="B36" s="84" t="s">
        <v>212</v>
      </c>
      <c r="C36" s="85" t="s">
        <v>211</v>
      </c>
      <c r="D36" s="84" t="s">
        <v>456</v>
      </c>
      <c r="E36" s="84" t="s">
        <v>457</v>
      </c>
      <c r="F36" s="20" t="s">
        <v>458</v>
      </c>
      <c r="G36" s="85" t="s">
        <v>451</v>
      </c>
      <c r="H36" s="87" t="s">
        <v>426</v>
      </c>
    </row>
    <row r="37" customFormat="false" ht="23.85" hidden="false" customHeight="false" outlineLevel="0" collapsed="false">
      <c r="A37" s="17" t="n">
        <v>33</v>
      </c>
      <c r="B37" s="84" t="s">
        <v>216</v>
      </c>
      <c r="C37" s="85" t="s">
        <v>211</v>
      </c>
      <c r="D37" s="84" t="s">
        <v>459</v>
      </c>
      <c r="E37" s="20" t="s">
        <v>460</v>
      </c>
      <c r="F37" s="20" t="s">
        <v>461</v>
      </c>
      <c r="G37" s="85" t="s">
        <v>462</v>
      </c>
      <c r="H37" s="86" t="s">
        <v>397</v>
      </c>
    </row>
    <row r="38" customFormat="false" ht="15" hidden="false" customHeight="false" outlineLevel="0" collapsed="false">
      <c r="A38" s="17" t="n">
        <v>34</v>
      </c>
      <c r="B38" s="84" t="s">
        <v>220</v>
      </c>
      <c r="C38" s="85" t="s">
        <v>211</v>
      </c>
      <c r="D38" s="84" t="s">
        <v>463</v>
      </c>
      <c r="E38" s="20" t="s">
        <v>464</v>
      </c>
      <c r="F38" s="20" t="s">
        <v>465</v>
      </c>
      <c r="G38" s="85" t="s">
        <v>466</v>
      </c>
      <c r="H38" s="86" t="s">
        <v>397</v>
      </c>
    </row>
    <row r="39" customFormat="false" ht="15" hidden="false" customHeight="false" outlineLevel="0" collapsed="false">
      <c r="A39" s="17" t="n">
        <v>35</v>
      </c>
      <c r="B39" s="84" t="s">
        <v>224</v>
      </c>
      <c r="C39" s="85" t="s">
        <v>211</v>
      </c>
      <c r="D39" s="84" t="s">
        <v>224</v>
      </c>
      <c r="E39" s="84" t="s">
        <v>438</v>
      </c>
      <c r="F39" s="20" t="s">
        <v>467</v>
      </c>
      <c r="G39" s="85" t="s">
        <v>451</v>
      </c>
      <c r="H39" s="86" t="s">
        <v>397</v>
      </c>
    </row>
    <row r="40" customFormat="false" ht="29.85" hidden="false" customHeight="false" outlineLevel="0" collapsed="false">
      <c r="A40" s="17" t="n">
        <v>36</v>
      </c>
      <c r="B40" s="84" t="s">
        <v>229</v>
      </c>
      <c r="C40" s="85" t="s">
        <v>228</v>
      </c>
      <c r="D40" s="84" t="s">
        <v>468</v>
      </c>
      <c r="E40" s="20" t="s">
        <v>469</v>
      </c>
      <c r="F40" s="20" t="s">
        <v>470</v>
      </c>
      <c r="G40" s="85" t="s">
        <v>471</v>
      </c>
      <c r="H40" s="86" t="s">
        <v>397</v>
      </c>
    </row>
    <row r="41" customFormat="false" ht="15" hidden="false" customHeight="false" outlineLevel="0" collapsed="false">
      <c r="A41" s="17" t="n">
        <v>37</v>
      </c>
      <c r="B41" s="84" t="s">
        <v>233</v>
      </c>
      <c r="C41" s="85" t="s">
        <v>228</v>
      </c>
      <c r="D41" s="84" t="s">
        <v>472</v>
      </c>
      <c r="E41" s="20" t="s">
        <v>473</v>
      </c>
      <c r="F41" s="84" t="s">
        <v>399</v>
      </c>
      <c r="G41" s="85" t="s">
        <v>471</v>
      </c>
      <c r="H41" s="86" t="s">
        <v>397</v>
      </c>
    </row>
    <row r="42" customFormat="false" ht="23.85" hidden="false" customHeight="false" outlineLevel="0" collapsed="false">
      <c r="A42" s="17" t="n">
        <v>38</v>
      </c>
      <c r="B42" s="84" t="s">
        <v>237</v>
      </c>
      <c r="C42" s="85" t="s">
        <v>228</v>
      </c>
      <c r="D42" s="84" t="s">
        <v>474</v>
      </c>
      <c r="E42" s="20" t="s">
        <v>475</v>
      </c>
      <c r="F42" s="20" t="s">
        <v>476</v>
      </c>
      <c r="G42" s="85" t="s">
        <v>471</v>
      </c>
      <c r="H42" s="86" t="s">
        <v>397</v>
      </c>
    </row>
    <row r="43" customFormat="false" ht="23.85" hidden="false" customHeight="false" outlineLevel="0" collapsed="false">
      <c r="A43" s="17" t="n">
        <v>39</v>
      </c>
      <c r="B43" s="84" t="s">
        <v>242</v>
      </c>
      <c r="C43" s="85" t="s">
        <v>241</v>
      </c>
      <c r="D43" s="84" t="s">
        <v>477</v>
      </c>
      <c r="E43" s="84" t="s">
        <v>478</v>
      </c>
      <c r="F43" s="20" t="s">
        <v>479</v>
      </c>
      <c r="G43" s="85" t="s">
        <v>480</v>
      </c>
      <c r="H43" s="86" t="s">
        <v>397</v>
      </c>
    </row>
    <row r="44" customFormat="false" ht="15" hidden="false" customHeight="false" outlineLevel="0" collapsed="false">
      <c r="A44" s="17" t="n">
        <v>40</v>
      </c>
      <c r="B44" s="84" t="s">
        <v>246</v>
      </c>
      <c r="C44" s="85" t="s">
        <v>241</v>
      </c>
      <c r="D44" s="84" t="s">
        <v>481</v>
      </c>
      <c r="E44" s="84" t="s">
        <v>482</v>
      </c>
      <c r="F44" s="20" t="s">
        <v>483</v>
      </c>
      <c r="G44" s="85" t="s">
        <v>480</v>
      </c>
      <c r="H44" s="86" t="s">
        <v>397</v>
      </c>
    </row>
    <row r="45" customFormat="false" ht="15" hidden="false" customHeight="false" outlineLevel="0" collapsed="false">
      <c r="A45" s="17" t="n">
        <v>41</v>
      </c>
      <c r="B45" s="84" t="s">
        <v>484</v>
      </c>
      <c r="C45" s="85" t="s">
        <v>241</v>
      </c>
      <c r="D45" s="84" t="s">
        <v>485</v>
      </c>
      <c r="E45" s="84" t="s">
        <v>486</v>
      </c>
      <c r="F45" s="84" t="s">
        <v>487</v>
      </c>
      <c r="G45" s="85" t="s">
        <v>471</v>
      </c>
      <c r="H45" s="87" t="s">
        <v>426</v>
      </c>
    </row>
    <row r="46" customFormat="false" ht="15" hidden="false" customHeight="false" outlineLevel="0" collapsed="false">
      <c r="A46" s="17" t="n">
        <v>42</v>
      </c>
      <c r="B46" s="20" t="s">
        <v>254</v>
      </c>
      <c r="C46" s="85" t="s">
        <v>241</v>
      </c>
      <c r="D46" s="20" t="s">
        <v>488</v>
      </c>
      <c r="E46" s="84" t="s">
        <v>489</v>
      </c>
      <c r="F46" s="20" t="s">
        <v>490</v>
      </c>
      <c r="G46" s="85" t="s">
        <v>480</v>
      </c>
      <c r="H46" s="86" t="s">
        <v>397</v>
      </c>
    </row>
    <row r="47" customFormat="false" ht="15" hidden="false" customHeight="false" outlineLevel="0" collapsed="false">
      <c r="A47" s="17" t="n">
        <v>43</v>
      </c>
      <c r="B47" s="84" t="s">
        <v>259</v>
      </c>
      <c r="C47" s="85" t="s">
        <v>258</v>
      </c>
      <c r="D47" s="84" t="s">
        <v>491</v>
      </c>
      <c r="E47" s="20" t="s">
        <v>492</v>
      </c>
      <c r="F47" s="84" t="s">
        <v>493</v>
      </c>
      <c r="G47" s="85" t="s">
        <v>494</v>
      </c>
      <c r="H47" s="86" t="s">
        <v>397</v>
      </c>
    </row>
    <row r="48" customFormat="false" ht="15" hidden="false" customHeight="false" outlineLevel="0" collapsed="false">
      <c r="A48" s="17" t="n">
        <v>44</v>
      </c>
      <c r="B48" s="84" t="s">
        <v>263</v>
      </c>
      <c r="C48" s="85" t="s">
        <v>258</v>
      </c>
      <c r="D48" s="84" t="s">
        <v>495</v>
      </c>
      <c r="E48" s="20" t="s">
        <v>496</v>
      </c>
      <c r="F48" s="84" t="s">
        <v>497</v>
      </c>
      <c r="G48" s="85" t="s">
        <v>494</v>
      </c>
      <c r="H48" s="87" t="s">
        <v>426</v>
      </c>
    </row>
    <row r="49" customFormat="false" ht="15" hidden="false" customHeight="false" outlineLevel="0" collapsed="false">
      <c r="A49" s="17" t="n">
        <v>45</v>
      </c>
      <c r="B49" s="84" t="s">
        <v>267</v>
      </c>
      <c r="C49" s="85" t="s">
        <v>258</v>
      </c>
      <c r="D49" s="84" t="s">
        <v>498</v>
      </c>
      <c r="E49" s="20" t="s">
        <v>492</v>
      </c>
      <c r="F49" s="84" t="s">
        <v>493</v>
      </c>
      <c r="G49" s="85" t="s">
        <v>494</v>
      </c>
      <c r="H49" s="86" t="s">
        <v>397</v>
      </c>
    </row>
    <row r="50" customFormat="false" ht="15" hidden="false" customHeight="false" outlineLevel="0" collapsed="false">
      <c r="A50" s="17" t="n">
        <v>46</v>
      </c>
      <c r="B50" s="84" t="s">
        <v>271</v>
      </c>
      <c r="C50" s="85" t="s">
        <v>258</v>
      </c>
      <c r="D50" s="84" t="s">
        <v>499</v>
      </c>
      <c r="E50" s="20" t="s">
        <v>423</v>
      </c>
      <c r="F50" s="84" t="s">
        <v>500</v>
      </c>
      <c r="G50" s="85" t="s">
        <v>471</v>
      </c>
      <c r="H50" s="87" t="s">
        <v>426</v>
      </c>
    </row>
  </sheetData>
  <autoFilter ref="A4:H5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42"/>
  </cols>
  <sheetData>
    <row r="1" customFormat="false" ht="23.85" hidden="false" customHeight="true" outlineLevel="0" collapsed="false">
      <c r="A1" s="80" t="s">
        <v>501</v>
      </c>
      <c r="B1" s="80"/>
      <c r="C1" s="80"/>
      <c r="D1" s="80"/>
      <c r="E1" s="80"/>
      <c r="F1" s="80"/>
    </row>
    <row r="2" customFormat="false" ht="15" hidden="false" customHeight="true" outlineLevel="0" collapsed="false">
      <c r="A2" s="81" t="s">
        <v>502</v>
      </c>
      <c r="B2" s="81"/>
      <c r="C2" s="81"/>
      <c r="D2" s="81"/>
      <c r="E2" s="81"/>
      <c r="F2" s="81"/>
    </row>
    <row r="4" customFormat="false" ht="19.4" hidden="false" customHeight="false" outlineLevel="0" collapsed="false">
      <c r="A4" s="89" t="s">
        <v>503</v>
      </c>
      <c r="B4" s="89"/>
      <c r="C4" s="89"/>
      <c r="D4" s="89"/>
    </row>
    <row r="5" customFormat="false" ht="15" hidden="false" customHeight="false" outlineLevel="0" collapsed="false">
      <c r="A5" s="90" t="s">
        <v>504</v>
      </c>
      <c r="B5" s="91" t="s">
        <v>505</v>
      </c>
      <c r="C5" s="90" t="s">
        <v>391</v>
      </c>
      <c r="D5" s="90" t="s">
        <v>506</v>
      </c>
    </row>
    <row r="6" customFormat="false" ht="23.85" hidden="false" customHeight="false" outlineLevel="0" collapsed="false">
      <c r="A6" s="84" t="s">
        <v>507</v>
      </c>
      <c r="B6" s="20" t="s">
        <v>395</v>
      </c>
      <c r="C6" s="84" t="s">
        <v>396</v>
      </c>
      <c r="D6" s="84" t="s">
        <v>508</v>
      </c>
    </row>
    <row r="7" customFormat="false" ht="15" hidden="false" customHeight="false" outlineLevel="0" collapsed="false">
      <c r="A7" s="84" t="s">
        <v>509</v>
      </c>
      <c r="B7" s="20" t="s">
        <v>412</v>
      </c>
      <c r="C7" s="84" t="s">
        <v>413</v>
      </c>
      <c r="D7" s="84" t="s">
        <v>510</v>
      </c>
    </row>
    <row r="8" customFormat="false" ht="15" hidden="false" customHeight="false" outlineLevel="0" collapsed="false">
      <c r="A8" s="84" t="s">
        <v>511</v>
      </c>
      <c r="B8" s="20" t="s">
        <v>430</v>
      </c>
      <c r="C8" s="84" t="s">
        <v>396</v>
      </c>
      <c r="D8" s="84" t="s">
        <v>512</v>
      </c>
    </row>
    <row r="9" customFormat="false" ht="15" hidden="false" customHeight="false" outlineLevel="0" collapsed="false">
      <c r="A9" s="84" t="s">
        <v>513</v>
      </c>
      <c r="B9" s="20" t="s">
        <v>424</v>
      </c>
      <c r="C9" s="84" t="s">
        <v>425</v>
      </c>
      <c r="D9" s="84" t="s">
        <v>514</v>
      </c>
    </row>
    <row r="10" customFormat="false" ht="23.85" hidden="false" customHeight="false" outlineLevel="0" collapsed="false">
      <c r="A10" s="84" t="s">
        <v>515</v>
      </c>
      <c r="B10" s="20" t="s">
        <v>470</v>
      </c>
      <c r="C10" s="84" t="s">
        <v>471</v>
      </c>
      <c r="D10" s="84" t="s">
        <v>516</v>
      </c>
    </row>
    <row r="11" customFormat="false" ht="15" hidden="false" customHeight="false" outlineLevel="0" collapsed="false">
      <c r="A11" s="84" t="s">
        <v>517</v>
      </c>
      <c r="B11" s="20" t="s">
        <v>461</v>
      </c>
      <c r="C11" s="84" t="s">
        <v>518</v>
      </c>
      <c r="D11" s="84" t="s">
        <v>519</v>
      </c>
    </row>
    <row r="13" customFormat="false" ht="19.4" hidden="false" customHeight="false" outlineLevel="0" collapsed="false">
      <c r="A13" s="92" t="s">
        <v>520</v>
      </c>
      <c r="B13" s="92"/>
      <c r="C13" s="92"/>
      <c r="D13" s="92"/>
    </row>
    <row r="14" customFormat="false" ht="15" hidden="false" customHeight="false" outlineLevel="0" collapsed="false">
      <c r="A14" s="90" t="s">
        <v>504</v>
      </c>
      <c r="B14" s="91" t="s">
        <v>505</v>
      </c>
      <c r="C14" s="90" t="s">
        <v>391</v>
      </c>
      <c r="D14" s="90" t="s">
        <v>506</v>
      </c>
    </row>
    <row r="15" customFormat="false" ht="15" hidden="false" customHeight="false" outlineLevel="0" collapsed="false">
      <c r="A15" s="84" t="s">
        <v>521</v>
      </c>
      <c r="B15" s="20" t="s">
        <v>522</v>
      </c>
      <c r="C15" s="84" t="s">
        <v>396</v>
      </c>
      <c r="D15" s="84" t="s">
        <v>523</v>
      </c>
    </row>
    <row r="16" customFormat="false" ht="15" hidden="false" customHeight="false" outlineLevel="0" collapsed="false">
      <c r="A16" s="84" t="s">
        <v>524</v>
      </c>
      <c r="B16" s="20" t="s">
        <v>525</v>
      </c>
      <c r="C16" s="84" t="s">
        <v>413</v>
      </c>
      <c r="D16" s="84" t="s">
        <v>526</v>
      </c>
    </row>
    <row r="17" customFormat="false" ht="15" hidden="false" customHeight="false" outlineLevel="0" collapsed="false">
      <c r="A17" s="84" t="s">
        <v>527</v>
      </c>
      <c r="B17" s="20" t="s">
        <v>528</v>
      </c>
      <c r="C17" s="84" t="s">
        <v>396</v>
      </c>
      <c r="D17" s="84" t="s">
        <v>529</v>
      </c>
    </row>
    <row r="19" customFormat="false" ht="19.4" hidden="false" customHeight="false" outlineLevel="0" collapsed="false">
      <c r="A19" s="93" t="s">
        <v>530</v>
      </c>
      <c r="B19" s="93"/>
      <c r="C19" s="93"/>
      <c r="D19" s="93"/>
    </row>
    <row r="20" customFormat="false" ht="15" hidden="false" customHeight="false" outlineLevel="0" collapsed="false">
      <c r="A20" s="90" t="s">
        <v>504</v>
      </c>
      <c r="B20" s="91" t="s">
        <v>505</v>
      </c>
      <c r="C20" s="90" t="s">
        <v>391</v>
      </c>
      <c r="D20" s="90" t="s">
        <v>506</v>
      </c>
    </row>
    <row r="21" customFormat="false" ht="15" hidden="false" customHeight="false" outlineLevel="0" collapsed="false">
      <c r="A21" s="84" t="s">
        <v>531</v>
      </c>
      <c r="B21" s="20" t="s">
        <v>479</v>
      </c>
      <c r="C21" s="84" t="s">
        <v>480</v>
      </c>
      <c r="D21" s="84" t="s">
        <v>532</v>
      </c>
    </row>
    <row r="22" customFormat="false" ht="23.85" hidden="false" customHeight="false" outlineLevel="0" collapsed="false">
      <c r="A22" s="84" t="s">
        <v>533</v>
      </c>
      <c r="B22" s="20" t="s">
        <v>534</v>
      </c>
      <c r="C22" s="84" t="s">
        <v>480</v>
      </c>
      <c r="D22" s="84" t="s">
        <v>535</v>
      </c>
    </row>
    <row r="23" customFormat="false" ht="15" hidden="false" customHeight="false" outlineLevel="0" collapsed="false">
      <c r="A23" s="84" t="s">
        <v>536</v>
      </c>
      <c r="B23" s="20" t="s">
        <v>483</v>
      </c>
      <c r="C23" s="84" t="s">
        <v>480</v>
      </c>
      <c r="D23" s="84" t="s">
        <v>537</v>
      </c>
    </row>
    <row r="24" customFormat="false" ht="15" hidden="false" customHeight="false" outlineLevel="0" collapsed="false">
      <c r="A24" s="20" t="s">
        <v>538</v>
      </c>
      <c r="B24" s="20" t="s">
        <v>490</v>
      </c>
      <c r="C24" s="84" t="s">
        <v>480</v>
      </c>
      <c r="D24" s="84" t="s">
        <v>539</v>
      </c>
    </row>
    <row r="25" customFormat="false" ht="15" hidden="false" customHeight="false" outlineLevel="0" collapsed="false">
      <c r="A25" s="84" t="s">
        <v>540</v>
      </c>
      <c r="B25" s="20" t="s">
        <v>541</v>
      </c>
      <c r="C25" s="84" t="s">
        <v>480</v>
      </c>
      <c r="D25" s="84" t="s">
        <v>542</v>
      </c>
    </row>
    <row r="27" customFormat="false" ht="19.4" hidden="false" customHeight="false" outlineLevel="0" collapsed="false">
      <c r="A27" s="94" t="s">
        <v>543</v>
      </c>
      <c r="B27" s="94"/>
      <c r="C27" s="94"/>
      <c r="D27" s="94"/>
    </row>
    <row r="28" customFormat="false" ht="15" hidden="false" customHeight="false" outlineLevel="0" collapsed="false">
      <c r="A28" s="90" t="s">
        <v>504</v>
      </c>
      <c r="B28" s="91" t="s">
        <v>505</v>
      </c>
      <c r="C28" s="90" t="s">
        <v>391</v>
      </c>
      <c r="D28" s="90" t="s">
        <v>506</v>
      </c>
    </row>
    <row r="29" customFormat="false" ht="15" hidden="false" customHeight="false" outlineLevel="0" collapsed="false">
      <c r="A29" s="84" t="s">
        <v>544</v>
      </c>
      <c r="B29" s="20" t="s">
        <v>439</v>
      </c>
      <c r="C29" s="84" t="s">
        <v>440</v>
      </c>
      <c r="D29" s="20" t="s">
        <v>545</v>
      </c>
    </row>
    <row r="30" customFormat="false" ht="15" hidden="false" customHeight="false" outlineLevel="0" collapsed="false">
      <c r="A30" s="84" t="s">
        <v>546</v>
      </c>
      <c r="B30" s="20" t="s">
        <v>442</v>
      </c>
      <c r="C30" s="84" t="s">
        <v>443</v>
      </c>
      <c r="D30" s="84" t="s">
        <v>547</v>
      </c>
    </row>
    <row r="31" customFormat="false" ht="15" hidden="false" customHeight="false" outlineLevel="0" collapsed="false">
      <c r="A31" s="84" t="s">
        <v>548</v>
      </c>
      <c r="B31" s="20" t="s">
        <v>454</v>
      </c>
      <c r="C31" s="84" t="s">
        <v>455</v>
      </c>
      <c r="D31" s="84" t="s">
        <v>549</v>
      </c>
    </row>
    <row r="32" customFormat="false" ht="15" hidden="false" customHeight="false" outlineLevel="0" collapsed="false">
      <c r="A32" s="84" t="s">
        <v>224</v>
      </c>
      <c r="B32" s="20" t="s">
        <v>467</v>
      </c>
      <c r="C32" s="84" t="s">
        <v>451</v>
      </c>
      <c r="D32" s="84" t="s">
        <v>550</v>
      </c>
    </row>
    <row r="33" customFormat="false" ht="15" hidden="false" customHeight="false" outlineLevel="0" collapsed="false">
      <c r="A33" s="84" t="s">
        <v>551</v>
      </c>
      <c r="B33" s="20" t="s">
        <v>552</v>
      </c>
      <c r="C33" s="84" t="s">
        <v>451</v>
      </c>
      <c r="D33" s="84" t="s">
        <v>553</v>
      </c>
    </row>
    <row r="35" customFormat="false" ht="19.4" hidden="false" customHeight="false" outlineLevel="0" collapsed="false">
      <c r="A35" s="95" t="s">
        <v>554</v>
      </c>
      <c r="B35" s="95"/>
      <c r="C35" s="95"/>
      <c r="D35" s="95"/>
    </row>
    <row r="36" customFormat="false" ht="15" hidden="false" customHeight="false" outlineLevel="0" collapsed="false">
      <c r="A36" s="90" t="s">
        <v>504</v>
      </c>
      <c r="B36" s="91" t="s">
        <v>505</v>
      </c>
      <c r="C36" s="90" t="s">
        <v>391</v>
      </c>
      <c r="D36" s="90" t="s">
        <v>506</v>
      </c>
    </row>
    <row r="37" customFormat="false" ht="15" hidden="false" customHeight="false" outlineLevel="0" collapsed="false">
      <c r="A37" s="84" t="s">
        <v>555</v>
      </c>
      <c r="B37" s="20" t="s">
        <v>420</v>
      </c>
      <c r="C37" s="84" t="s">
        <v>421</v>
      </c>
      <c r="D37" s="84" t="s">
        <v>556</v>
      </c>
    </row>
    <row r="39" customFormat="false" ht="15" hidden="false" customHeight="false" outlineLevel="0" collapsed="false">
      <c r="A39" s="96" t="s">
        <v>557</v>
      </c>
      <c r="B39" s="96"/>
      <c r="C39" s="96"/>
      <c r="D39" s="96"/>
    </row>
    <row r="40" customFormat="false" ht="15" hidden="false" customHeight="false" outlineLevel="0" collapsed="false">
      <c r="A40" s="90" t="s">
        <v>504</v>
      </c>
      <c r="B40" s="91" t="s">
        <v>505</v>
      </c>
      <c r="C40" s="90" t="s">
        <v>391</v>
      </c>
      <c r="D40" s="90" t="s">
        <v>506</v>
      </c>
    </row>
    <row r="41" customFormat="false" ht="29.85" hidden="false" customHeight="false" outlineLevel="0" collapsed="false">
      <c r="A41" s="20" t="s">
        <v>558</v>
      </c>
      <c r="B41" s="20" t="s">
        <v>476</v>
      </c>
      <c r="C41" s="84" t="s">
        <v>559</v>
      </c>
      <c r="D41" s="84" t="s">
        <v>560</v>
      </c>
    </row>
    <row r="42" customFormat="false" ht="15" hidden="false" customHeight="false" outlineLevel="0" collapsed="false">
      <c r="A42" s="20" t="s">
        <v>561</v>
      </c>
      <c r="B42" s="20" t="s">
        <v>562</v>
      </c>
      <c r="C42" s="20" t="s">
        <v>563</v>
      </c>
      <c r="D42" s="84" t="s">
        <v>564</v>
      </c>
    </row>
  </sheetData>
  <mergeCells count="8">
    <mergeCell ref="A1:F1"/>
    <mergeCell ref="A2:F2"/>
    <mergeCell ref="A4:D4"/>
    <mergeCell ref="A13:D13"/>
    <mergeCell ref="A19:D19"/>
    <mergeCell ref="A27:D27"/>
    <mergeCell ref="A35:D35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7" min="5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1" min="10" style="1" width="12"/>
    <col collapsed="false" customWidth="true" hidden="false" outlineLevel="0" max="12" min="12" style="1" width="25"/>
  </cols>
  <sheetData>
    <row r="1" customFormat="false" ht="23.25" hidden="false" customHeight="true" outlineLevel="0" collapsed="false">
      <c r="A1" s="39" t="s">
        <v>565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3" customFormat="false" ht="15" hidden="false" customHeight="true" outlineLevel="0" collapsed="false">
      <c r="A3" s="62" t="s">
        <v>566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5" customFormat="false" ht="32.25" hidden="false" customHeight="true" outlineLevel="0" collapsed="false">
      <c r="A5" s="5" t="s">
        <v>51</v>
      </c>
      <c r="B5" s="5" t="s">
        <v>53</v>
      </c>
      <c r="C5" s="5" t="s">
        <v>567</v>
      </c>
      <c r="D5" s="5" t="s">
        <v>568</v>
      </c>
      <c r="E5" s="5" t="s">
        <v>569</v>
      </c>
      <c r="F5" s="5" t="s">
        <v>570</v>
      </c>
      <c r="G5" s="5" t="s">
        <v>571</v>
      </c>
      <c r="H5" s="5" t="s">
        <v>572</v>
      </c>
      <c r="I5" s="5" t="s">
        <v>573</v>
      </c>
      <c r="J5" s="5" t="s">
        <v>574</v>
      </c>
      <c r="K5" s="5" t="s">
        <v>575</v>
      </c>
      <c r="L5" s="5" t="s">
        <v>576</v>
      </c>
    </row>
    <row r="6" customFormat="false" ht="15" hidden="false" customHeight="true" outlineLevel="0" collapsed="false">
      <c r="A6" s="22" t="n">
        <v>1</v>
      </c>
      <c r="B6" s="19" t="s">
        <v>64</v>
      </c>
      <c r="C6" s="22"/>
      <c r="D6" s="22"/>
      <c r="E6" s="22"/>
      <c r="F6" s="22"/>
      <c r="G6" s="22"/>
      <c r="H6" s="22"/>
      <c r="I6" s="22"/>
      <c r="J6" s="22"/>
      <c r="K6" s="22"/>
      <c r="L6" s="97"/>
    </row>
    <row r="7" customFormat="false" ht="15" hidden="false" customHeight="true" outlineLevel="0" collapsed="false">
      <c r="A7" s="22" t="n">
        <v>2</v>
      </c>
      <c r="B7" s="19" t="s">
        <v>74</v>
      </c>
      <c r="C7" s="22"/>
      <c r="D7" s="22"/>
      <c r="E7" s="22"/>
      <c r="F7" s="22"/>
      <c r="G7" s="22"/>
      <c r="H7" s="22"/>
      <c r="I7" s="22"/>
      <c r="J7" s="22"/>
      <c r="K7" s="22"/>
      <c r="L7" s="97"/>
    </row>
    <row r="8" customFormat="false" ht="15" hidden="false" customHeight="true" outlineLevel="0" collapsed="false">
      <c r="A8" s="22" t="n">
        <v>3</v>
      </c>
      <c r="B8" s="19" t="s">
        <v>78</v>
      </c>
      <c r="C8" s="22"/>
      <c r="D8" s="22"/>
      <c r="E8" s="22"/>
      <c r="F8" s="22"/>
      <c r="G8" s="22"/>
      <c r="H8" s="22"/>
      <c r="I8" s="22"/>
      <c r="J8" s="22"/>
      <c r="K8" s="22"/>
      <c r="L8" s="97"/>
    </row>
    <row r="9" customFormat="false" ht="15" hidden="false" customHeight="true" outlineLevel="0" collapsed="false">
      <c r="A9" s="22" t="n">
        <v>4</v>
      </c>
      <c r="B9" s="20" t="s">
        <v>84</v>
      </c>
      <c r="C9" s="22"/>
      <c r="D9" s="22"/>
      <c r="E9" s="22"/>
      <c r="F9" s="22"/>
      <c r="G9" s="22"/>
      <c r="H9" s="22"/>
      <c r="I9" s="22"/>
      <c r="J9" s="22"/>
      <c r="K9" s="22"/>
      <c r="L9" s="97"/>
    </row>
    <row r="10" customFormat="false" ht="15" hidden="false" customHeight="true" outlineLevel="0" collapsed="false">
      <c r="A10" s="22" t="n">
        <v>5</v>
      </c>
      <c r="B10" s="19" t="s">
        <v>89</v>
      </c>
      <c r="C10" s="22"/>
      <c r="D10" s="22"/>
      <c r="E10" s="22"/>
      <c r="F10" s="22"/>
      <c r="G10" s="22"/>
      <c r="H10" s="22"/>
      <c r="I10" s="22"/>
      <c r="J10" s="22"/>
      <c r="K10" s="22"/>
      <c r="L10" s="97"/>
    </row>
    <row r="11" customFormat="false" ht="15" hidden="false" customHeight="true" outlineLevel="0" collapsed="false">
      <c r="A11" s="22" t="n">
        <v>6</v>
      </c>
      <c r="B11" s="19" t="s">
        <v>95</v>
      </c>
      <c r="C11" s="22"/>
      <c r="D11" s="22"/>
      <c r="E11" s="22"/>
      <c r="F11" s="22"/>
      <c r="G11" s="22"/>
      <c r="H11" s="22"/>
      <c r="I11" s="22"/>
      <c r="J11" s="22"/>
      <c r="K11" s="22"/>
      <c r="L11" s="97"/>
    </row>
    <row r="12" customFormat="false" ht="15" hidden="false" customHeight="true" outlineLevel="0" collapsed="false">
      <c r="A12" s="22" t="n">
        <v>7</v>
      </c>
      <c r="B12" s="19" t="s">
        <v>99</v>
      </c>
      <c r="C12" s="22"/>
      <c r="D12" s="22"/>
      <c r="E12" s="22"/>
      <c r="F12" s="22"/>
      <c r="G12" s="22"/>
      <c r="H12" s="22"/>
      <c r="I12" s="22"/>
      <c r="J12" s="22"/>
      <c r="K12" s="22"/>
      <c r="L12" s="97"/>
    </row>
    <row r="13" customFormat="false" ht="15" hidden="false" customHeight="true" outlineLevel="0" collapsed="false">
      <c r="A13" s="22" t="n">
        <v>8</v>
      </c>
      <c r="B13" s="19" t="s">
        <v>104</v>
      </c>
      <c r="C13" s="22"/>
      <c r="D13" s="22"/>
      <c r="E13" s="22"/>
      <c r="F13" s="22"/>
      <c r="G13" s="22"/>
      <c r="H13" s="22"/>
      <c r="I13" s="22"/>
      <c r="J13" s="22"/>
      <c r="K13" s="22"/>
      <c r="L13" s="97"/>
    </row>
    <row r="14" customFormat="false" ht="15" hidden="false" customHeight="true" outlineLevel="0" collapsed="false">
      <c r="A14" s="22" t="n">
        <v>9</v>
      </c>
      <c r="B14" s="19" t="s">
        <v>109</v>
      </c>
      <c r="C14" s="22"/>
      <c r="D14" s="22"/>
      <c r="E14" s="22"/>
      <c r="F14" s="22"/>
      <c r="G14" s="22"/>
      <c r="H14" s="22"/>
      <c r="I14" s="22"/>
      <c r="J14" s="22"/>
      <c r="K14" s="22"/>
      <c r="L14" s="97"/>
    </row>
    <row r="15" customFormat="false" ht="15" hidden="false" customHeight="true" outlineLevel="0" collapsed="false">
      <c r="A15" s="22" t="n">
        <v>10</v>
      </c>
      <c r="B15" s="19" t="s">
        <v>113</v>
      </c>
      <c r="C15" s="22"/>
      <c r="D15" s="22"/>
      <c r="E15" s="22"/>
      <c r="F15" s="22"/>
      <c r="G15" s="22"/>
      <c r="H15" s="22"/>
      <c r="I15" s="22"/>
      <c r="J15" s="22"/>
      <c r="K15" s="22"/>
      <c r="L15" s="97"/>
    </row>
    <row r="16" customFormat="false" ht="15" hidden="false" customHeight="true" outlineLevel="0" collapsed="false">
      <c r="A16" s="22" t="n">
        <v>11</v>
      </c>
      <c r="B16" s="19" t="s">
        <v>117</v>
      </c>
      <c r="C16" s="22"/>
      <c r="D16" s="22"/>
      <c r="E16" s="22"/>
      <c r="F16" s="22"/>
      <c r="G16" s="22"/>
      <c r="H16" s="22"/>
      <c r="I16" s="22"/>
      <c r="J16" s="22"/>
      <c r="K16" s="22"/>
      <c r="L16" s="97"/>
    </row>
    <row r="17" customFormat="false" ht="15" hidden="false" customHeight="true" outlineLevel="0" collapsed="false">
      <c r="A17" s="22" t="n">
        <v>12</v>
      </c>
      <c r="B17" s="19" t="s">
        <v>122</v>
      </c>
      <c r="C17" s="22"/>
      <c r="D17" s="22"/>
      <c r="E17" s="22"/>
      <c r="F17" s="22"/>
      <c r="G17" s="22"/>
      <c r="H17" s="22"/>
      <c r="I17" s="22"/>
      <c r="J17" s="22"/>
      <c r="K17" s="22"/>
      <c r="L17" s="97"/>
    </row>
    <row r="18" customFormat="false" ht="15" hidden="false" customHeight="true" outlineLevel="0" collapsed="false">
      <c r="A18" s="22" t="n">
        <v>13</v>
      </c>
      <c r="B18" s="19" t="s">
        <v>127</v>
      </c>
      <c r="C18" s="22"/>
      <c r="D18" s="22"/>
      <c r="E18" s="22"/>
      <c r="F18" s="22"/>
      <c r="G18" s="22"/>
      <c r="H18" s="22"/>
      <c r="I18" s="22"/>
      <c r="J18" s="22"/>
      <c r="K18" s="22"/>
      <c r="L18" s="97"/>
    </row>
    <row r="19" customFormat="false" ht="15" hidden="false" customHeight="true" outlineLevel="0" collapsed="false">
      <c r="A19" s="22" t="n">
        <v>14</v>
      </c>
      <c r="B19" s="19" t="s">
        <v>131</v>
      </c>
      <c r="C19" s="22"/>
      <c r="D19" s="22"/>
      <c r="E19" s="22"/>
      <c r="F19" s="22"/>
      <c r="G19" s="22"/>
      <c r="H19" s="22"/>
      <c r="I19" s="22"/>
      <c r="J19" s="22"/>
      <c r="K19" s="22"/>
      <c r="L19" s="97"/>
    </row>
    <row r="20" customFormat="false" ht="15" hidden="false" customHeight="true" outlineLevel="0" collapsed="false">
      <c r="A20" s="22" t="n">
        <v>15</v>
      </c>
      <c r="B20" s="19" t="s">
        <v>135</v>
      </c>
      <c r="C20" s="22"/>
      <c r="D20" s="22"/>
      <c r="E20" s="22"/>
      <c r="F20" s="22"/>
      <c r="G20" s="22"/>
      <c r="H20" s="22"/>
      <c r="I20" s="22"/>
      <c r="J20" s="22"/>
      <c r="K20" s="22"/>
      <c r="L20" s="97"/>
    </row>
    <row r="21" customFormat="false" ht="15" hidden="false" customHeight="true" outlineLevel="0" collapsed="false">
      <c r="A21" s="22" t="n">
        <v>16</v>
      </c>
      <c r="B21" s="19" t="s">
        <v>139</v>
      </c>
      <c r="C21" s="22"/>
      <c r="D21" s="22"/>
      <c r="E21" s="22"/>
      <c r="F21" s="22"/>
      <c r="G21" s="22"/>
      <c r="H21" s="22"/>
      <c r="I21" s="22"/>
      <c r="J21" s="22"/>
      <c r="K21" s="22"/>
      <c r="L21" s="97"/>
    </row>
    <row r="22" customFormat="false" ht="15" hidden="false" customHeight="true" outlineLevel="0" collapsed="false">
      <c r="A22" s="22" t="n">
        <v>17</v>
      </c>
      <c r="B22" s="19" t="s">
        <v>143</v>
      </c>
      <c r="C22" s="22"/>
      <c r="D22" s="22"/>
      <c r="E22" s="22"/>
      <c r="F22" s="22"/>
      <c r="G22" s="22"/>
      <c r="H22" s="22"/>
      <c r="I22" s="22"/>
      <c r="J22" s="22"/>
      <c r="K22" s="22"/>
      <c r="L22" s="97"/>
    </row>
    <row r="23" customFormat="false" ht="29.25" hidden="false" customHeight="true" outlineLevel="0" collapsed="false">
      <c r="A23" s="22" t="n">
        <v>18</v>
      </c>
      <c r="B23" s="19" t="s">
        <v>149</v>
      </c>
      <c r="C23" s="22"/>
      <c r="D23" s="22"/>
      <c r="E23" s="22"/>
      <c r="F23" s="22"/>
      <c r="G23" s="22"/>
      <c r="H23" s="22"/>
      <c r="I23" s="22"/>
      <c r="J23" s="22"/>
      <c r="K23" s="22"/>
      <c r="L23" s="97"/>
    </row>
    <row r="24" customFormat="false" ht="15" hidden="false" customHeight="true" outlineLevel="0" collapsed="false">
      <c r="A24" s="22" t="n">
        <v>19</v>
      </c>
      <c r="B24" s="19" t="s">
        <v>154</v>
      </c>
      <c r="C24" s="22"/>
      <c r="D24" s="22"/>
      <c r="E24" s="22"/>
      <c r="F24" s="22"/>
      <c r="G24" s="22"/>
      <c r="H24" s="22"/>
      <c r="I24" s="22"/>
      <c r="J24" s="22"/>
      <c r="K24" s="22"/>
      <c r="L24" s="97"/>
    </row>
    <row r="25" customFormat="false" ht="15" hidden="false" customHeight="true" outlineLevel="0" collapsed="false">
      <c r="A25" s="22" t="n">
        <v>20</v>
      </c>
      <c r="B25" s="19" t="s">
        <v>158</v>
      </c>
      <c r="C25" s="22"/>
      <c r="D25" s="22"/>
      <c r="E25" s="22"/>
      <c r="F25" s="22"/>
      <c r="G25" s="22"/>
      <c r="H25" s="22"/>
      <c r="I25" s="22"/>
      <c r="J25" s="22"/>
      <c r="K25" s="22"/>
      <c r="L25" s="97"/>
    </row>
    <row r="26" customFormat="false" ht="29.25" hidden="false" customHeight="true" outlineLevel="0" collapsed="false">
      <c r="A26" s="22" t="n">
        <v>21</v>
      </c>
      <c r="B26" s="19" t="s">
        <v>162</v>
      </c>
      <c r="C26" s="22"/>
      <c r="D26" s="22"/>
      <c r="E26" s="22"/>
      <c r="F26" s="22"/>
      <c r="G26" s="22"/>
      <c r="H26" s="22"/>
      <c r="I26" s="22"/>
      <c r="J26" s="22"/>
      <c r="K26" s="22"/>
      <c r="L26" s="97"/>
    </row>
    <row r="27" customFormat="false" ht="15" hidden="false" customHeight="true" outlineLevel="0" collapsed="false">
      <c r="A27" s="22" t="n">
        <v>22</v>
      </c>
      <c r="B27" s="20" t="s">
        <v>167</v>
      </c>
      <c r="C27" s="22"/>
      <c r="D27" s="22"/>
      <c r="E27" s="22"/>
      <c r="F27" s="22"/>
      <c r="G27" s="22"/>
      <c r="H27" s="22"/>
      <c r="I27" s="22"/>
      <c r="J27" s="22"/>
      <c r="K27" s="22"/>
      <c r="L27" s="97"/>
    </row>
    <row r="28" customFormat="false" ht="15" hidden="false" customHeight="true" outlineLevel="0" collapsed="false">
      <c r="A28" s="22" t="n">
        <v>23</v>
      </c>
      <c r="B28" s="19" t="s">
        <v>171</v>
      </c>
      <c r="C28" s="22"/>
      <c r="D28" s="22"/>
      <c r="E28" s="22"/>
      <c r="F28" s="22"/>
      <c r="G28" s="22"/>
      <c r="H28" s="22"/>
      <c r="I28" s="22"/>
      <c r="J28" s="22"/>
      <c r="K28" s="22"/>
      <c r="L28" s="97"/>
    </row>
    <row r="29" customFormat="false" ht="15" hidden="false" customHeight="true" outlineLevel="0" collapsed="false">
      <c r="A29" s="22" t="n">
        <v>24</v>
      </c>
      <c r="B29" s="19" t="s">
        <v>177</v>
      </c>
      <c r="C29" s="22"/>
      <c r="D29" s="22"/>
      <c r="E29" s="22"/>
      <c r="F29" s="22"/>
      <c r="G29" s="22"/>
      <c r="H29" s="22"/>
      <c r="I29" s="22"/>
      <c r="J29" s="22"/>
      <c r="K29" s="22"/>
      <c r="L29" s="97"/>
    </row>
    <row r="30" customFormat="false" ht="15" hidden="false" customHeight="true" outlineLevel="0" collapsed="false">
      <c r="A30" s="22" t="n">
        <v>25</v>
      </c>
      <c r="B30" s="19" t="s">
        <v>181</v>
      </c>
      <c r="C30" s="22"/>
      <c r="D30" s="22"/>
      <c r="E30" s="22"/>
      <c r="F30" s="22"/>
      <c r="G30" s="22"/>
      <c r="H30" s="22"/>
      <c r="I30" s="22"/>
      <c r="J30" s="22"/>
      <c r="K30" s="22"/>
      <c r="L30" s="97"/>
    </row>
    <row r="31" customFormat="false" ht="15" hidden="false" customHeight="true" outlineLevel="0" collapsed="false">
      <c r="A31" s="22" t="n">
        <v>26</v>
      </c>
      <c r="B31" s="19" t="s">
        <v>185</v>
      </c>
      <c r="C31" s="22"/>
      <c r="D31" s="22"/>
      <c r="E31" s="22"/>
      <c r="F31" s="22"/>
      <c r="G31" s="22"/>
      <c r="H31" s="22"/>
      <c r="I31" s="22"/>
      <c r="J31" s="22"/>
      <c r="K31" s="22"/>
      <c r="L31" s="97"/>
    </row>
    <row r="32" customFormat="false" ht="15" hidden="false" customHeight="true" outlineLevel="0" collapsed="false">
      <c r="A32" s="22" t="n">
        <v>27</v>
      </c>
      <c r="B32" s="20" t="s">
        <v>190</v>
      </c>
      <c r="C32" s="22"/>
      <c r="D32" s="22"/>
      <c r="E32" s="22"/>
      <c r="F32" s="22"/>
      <c r="G32" s="22"/>
      <c r="H32" s="22"/>
      <c r="I32" s="22"/>
      <c r="J32" s="22"/>
      <c r="K32" s="22"/>
      <c r="L32" s="97"/>
    </row>
    <row r="33" customFormat="false" ht="15" hidden="false" customHeight="true" outlineLevel="0" collapsed="false">
      <c r="A33" s="22" t="n">
        <v>28</v>
      </c>
      <c r="B33" s="19" t="s">
        <v>194</v>
      </c>
      <c r="C33" s="22"/>
      <c r="D33" s="22"/>
      <c r="E33" s="22"/>
      <c r="F33" s="22"/>
      <c r="G33" s="22"/>
      <c r="H33" s="22"/>
      <c r="I33" s="22"/>
      <c r="J33" s="22"/>
      <c r="K33" s="22"/>
      <c r="L33" s="97"/>
    </row>
    <row r="34" customFormat="false" ht="15" hidden="false" customHeight="true" outlineLevel="0" collapsed="false">
      <c r="A34" s="22" t="n">
        <v>29</v>
      </c>
      <c r="B34" s="19" t="s">
        <v>198</v>
      </c>
      <c r="C34" s="22"/>
      <c r="D34" s="22"/>
      <c r="E34" s="22"/>
      <c r="F34" s="22"/>
      <c r="G34" s="22"/>
      <c r="H34" s="22"/>
      <c r="I34" s="22"/>
      <c r="J34" s="22"/>
      <c r="K34" s="22"/>
      <c r="L34" s="97"/>
    </row>
    <row r="35" customFormat="false" ht="15" hidden="false" customHeight="true" outlineLevel="0" collapsed="false">
      <c r="A35" s="22" t="n">
        <v>30</v>
      </c>
      <c r="B35" s="19" t="s">
        <v>203</v>
      </c>
      <c r="C35" s="22"/>
      <c r="D35" s="22"/>
      <c r="E35" s="22"/>
      <c r="F35" s="22"/>
      <c r="G35" s="22"/>
      <c r="H35" s="22"/>
      <c r="I35" s="22"/>
      <c r="J35" s="22"/>
      <c r="K35" s="22"/>
      <c r="L35" s="97"/>
    </row>
    <row r="36" customFormat="false" ht="15" hidden="false" customHeight="true" outlineLevel="0" collapsed="false">
      <c r="A36" s="22" t="n">
        <v>31</v>
      </c>
      <c r="B36" s="19" t="s">
        <v>207</v>
      </c>
      <c r="C36" s="22"/>
      <c r="D36" s="22"/>
      <c r="E36" s="22"/>
      <c r="F36" s="22"/>
      <c r="G36" s="22"/>
      <c r="H36" s="22"/>
      <c r="I36" s="22"/>
      <c r="J36" s="22"/>
      <c r="K36" s="22"/>
      <c r="L36" s="97"/>
    </row>
    <row r="37" customFormat="false" ht="15" hidden="false" customHeight="true" outlineLevel="0" collapsed="false">
      <c r="A37" s="22" t="n">
        <v>32</v>
      </c>
      <c r="B37" s="19" t="s">
        <v>212</v>
      </c>
      <c r="C37" s="22"/>
      <c r="D37" s="22"/>
      <c r="E37" s="22"/>
      <c r="F37" s="22"/>
      <c r="G37" s="22"/>
      <c r="H37" s="22"/>
      <c r="I37" s="22"/>
      <c r="J37" s="22"/>
      <c r="K37" s="22"/>
      <c r="L37" s="97"/>
    </row>
    <row r="38" customFormat="false" ht="15" hidden="false" customHeight="true" outlineLevel="0" collapsed="false">
      <c r="A38" s="22" t="n">
        <v>33</v>
      </c>
      <c r="B38" s="19" t="s">
        <v>216</v>
      </c>
      <c r="C38" s="22"/>
      <c r="D38" s="22"/>
      <c r="E38" s="22"/>
      <c r="F38" s="22"/>
      <c r="G38" s="22"/>
      <c r="H38" s="22"/>
      <c r="I38" s="22"/>
      <c r="J38" s="22"/>
      <c r="K38" s="22"/>
      <c r="L38" s="97"/>
    </row>
    <row r="39" customFormat="false" ht="15" hidden="false" customHeight="true" outlineLevel="0" collapsed="false">
      <c r="A39" s="22" t="n">
        <v>34</v>
      </c>
      <c r="B39" s="19" t="s">
        <v>220</v>
      </c>
      <c r="C39" s="22"/>
      <c r="D39" s="22"/>
      <c r="E39" s="22"/>
      <c r="F39" s="22"/>
      <c r="G39" s="22"/>
      <c r="H39" s="22"/>
      <c r="I39" s="22"/>
      <c r="J39" s="22"/>
      <c r="K39" s="22"/>
      <c r="L39" s="97"/>
    </row>
    <row r="40" customFormat="false" ht="15" hidden="false" customHeight="true" outlineLevel="0" collapsed="false">
      <c r="A40" s="22" t="n">
        <v>35</v>
      </c>
      <c r="B40" s="19" t="s">
        <v>224</v>
      </c>
      <c r="C40" s="22"/>
      <c r="D40" s="22"/>
      <c r="E40" s="22"/>
      <c r="F40" s="22"/>
      <c r="G40" s="22"/>
      <c r="H40" s="22"/>
      <c r="I40" s="22"/>
      <c r="J40" s="22"/>
      <c r="K40" s="22"/>
      <c r="L40" s="97"/>
    </row>
    <row r="41" customFormat="false" ht="15" hidden="false" customHeight="true" outlineLevel="0" collapsed="false">
      <c r="A41" s="22" t="n">
        <v>36</v>
      </c>
      <c r="B41" s="19" t="s">
        <v>229</v>
      </c>
      <c r="C41" s="22"/>
      <c r="D41" s="22"/>
      <c r="E41" s="22"/>
      <c r="F41" s="22"/>
      <c r="G41" s="22"/>
      <c r="H41" s="22"/>
      <c r="I41" s="22"/>
      <c r="J41" s="22"/>
      <c r="K41" s="22"/>
      <c r="L41" s="97"/>
    </row>
    <row r="42" customFormat="false" ht="15" hidden="false" customHeight="true" outlineLevel="0" collapsed="false">
      <c r="A42" s="22" t="n">
        <v>37</v>
      </c>
      <c r="B42" s="19" t="s">
        <v>233</v>
      </c>
      <c r="C42" s="22"/>
      <c r="D42" s="22"/>
      <c r="E42" s="22"/>
      <c r="F42" s="22"/>
      <c r="G42" s="22"/>
      <c r="H42" s="22"/>
      <c r="I42" s="22"/>
      <c r="J42" s="22"/>
      <c r="K42" s="22"/>
      <c r="L42" s="97"/>
    </row>
    <row r="43" customFormat="false" ht="15" hidden="false" customHeight="true" outlineLevel="0" collapsed="false">
      <c r="A43" s="22" t="n">
        <v>38</v>
      </c>
      <c r="B43" s="19" t="s">
        <v>237</v>
      </c>
      <c r="C43" s="22"/>
      <c r="D43" s="22"/>
      <c r="E43" s="22"/>
      <c r="F43" s="22"/>
      <c r="G43" s="22"/>
      <c r="H43" s="22"/>
      <c r="I43" s="22"/>
      <c r="J43" s="22"/>
      <c r="K43" s="22"/>
      <c r="L43" s="97"/>
    </row>
    <row r="44" customFormat="false" ht="15" hidden="false" customHeight="true" outlineLevel="0" collapsed="false">
      <c r="A44" s="22" t="n">
        <v>39</v>
      </c>
      <c r="B44" s="19" t="s">
        <v>242</v>
      </c>
      <c r="C44" s="22"/>
      <c r="D44" s="22"/>
      <c r="E44" s="22"/>
      <c r="F44" s="22"/>
      <c r="G44" s="22"/>
      <c r="H44" s="22"/>
      <c r="I44" s="22"/>
      <c r="J44" s="22"/>
      <c r="K44" s="22"/>
      <c r="L44" s="97"/>
    </row>
    <row r="45" customFormat="false" ht="15" hidden="false" customHeight="true" outlineLevel="0" collapsed="false">
      <c r="A45" s="22" t="n">
        <v>40</v>
      </c>
      <c r="B45" s="19" t="s">
        <v>246</v>
      </c>
      <c r="C45" s="22"/>
      <c r="D45" s="22"/>
      <c r="E45" s="22"/>
      <c r="F45" s="22"/>
      <c r="G45" s="22"/>
      <c r="H45" s="22"/>
      <c r="I45" s="22"/>
      <c r="J45" s="22"/>
      <c r="K45" s="22"/>
      <c r="L45" s="97"/>
    </row>
    <row r="46" customFormat="false" ht="15" hidden="false" customHeight="true" outlineLevel="0" collapsed="false">
      <c r="A46" s="22" t="n">
        <v>41</v>
      </c>
      <c r="B46" s="19" t="s">
        <v>250</v>
      </c>
      <c r="C46" s="22"/>
      <c r="D46" s="22"/>
      <c r="E46" s="22"/>
      <c r="F46" s="22"/>
      <c r="G46" s="22"/>
      <c r="H46" s="22"/>
      <c r="I46" s="22"/>
      <c r="J46" s="22"/>
      <c r="K46" s="22"/>
      <c r="L46" s="97"/>
    </row>
    <row r="47" customFormat="false" ht="15" hidden="false" customHeight="true" outlineLevel="0" collapsed="false">
      <c r="A47" s="22" t="n">
        <v>42</v>
      </c>
      <c r="B47" s="20" t="s">
        <v>254</v>
      </c>
      <c r="C47" s="22"/>
      <c r="D47" s="22"/>
      <c r="E47" s="22"/>
      <c r="F47" s="22"/>
      <c r="G47" s="22"/>
      <c r="H47" s="22"/>
      <c r="I47" s="22"/>
      <c r="J47" s="22"/>
      <c r="K47" s="22"/>
      <c r="L47" s="97"/>
    </row>
    <row r="48" customFormat="false" ht="15" hidden="false" customHeight="true" outlineLevel="0" collapsed="false">
      <c r="A48" s="22" t="n">
        <v>43</v>
      </c>
      <c r="B48" s="19" t="s">
        <v>259</v>
      </c>
      <c r="C48" s="22"/>
      <c r="D48" s="22"/>
      <c r="E48" s="22"/>
      <c r="F48" s="22"/>
      <c r="G48" s="22"/>
      <c r="H48" s="22"/>
      <c r="I48" s="22"/>
      <c r="J48" s="22"/>
      <c r="K48" s="22"/>
      <c r="L48" s="97"/>
    </row>
    <row r="49" customFormat="false" ht="15" hidden="false" customHeight="true" outlineLevel="0" collapsed="false">
      <c r="A49" s="22" t="n">
        <v>44</v>
      </c>
      <c r="B49" s="19" t="s">
        <v>263</v>
      </c>
      <c r="C49" s="22"/>
      <c r="D49" s="22"/>
      <c r="E49" s="22"/>
      <c r="F49" s="22"/>
      <c r="G49" s="22"/>
      <c r="H49" s="22"/>
      <c r="I49" s="22"/>
      <c r="J49" s="22"/>
      <c r="K49" s="22"/>
      <c r="L49" s="97"/>
    </row>
    <row r="50" customFormat="false" ht="15" hidden="false" customHeight="true" outlineLevel="0" collapsed="false">
      <c r="A50" s="22" t="n">
        <v>45</v>
      </c>
      <c r="B50" s="19" t="s">
        <v>267</v>
      </c>
      <c r="C50" s="22"/>
      <c r="D50" s="22"/>
      <c r="E50" s="22"/>
      <c r="F50" s="22"/>
      <c r="G50" s="22"/>
      <c r="H50" s="22"/>
      <c r="I50" s="22"/>
      <c r="J50" s="22"/>
      <c r="K50" s="22"/>
      <c r="L50" s="97"/>
    </row>
    <row r="51" customFormat="false" ht="15" hidden="false" customHeight="true" outlineLevel="0" collapsed="false">
      <c r="A51" s="22" t="n">
        <v>46</v>
      </c>
      <c r="B51" s="19" t="s">
        <v>271</v>
      </c>
      <c r="C51" s="22"/>
      <c r="D51" s="22"/>
      <c r="E51" s="22"/>
      <c r="F51" s="22"/>
      <c r="G51" s="22"/>
      <c r="H51" s="22"/>
      <c r="I51" s="22"/>
      <c r="J51" s="22"/>
      <c r="K51" s="22"/>
      <c r="L51" s="97"/>
    </row>
    <row r="53" customFormat="false" ht="26.25" hidden="false" customHeight="true" outlineLevel="0" collapsed="false">
      <c r="A53" s="49" t="s">
        <v>577</v>
      </c>
      <c r="B53" s="69" t="s">
        <v>578</v>
      </c>
      <c r="C53" s="98" t="n">
        <f aca="false">COUNTIF(C6:C52,"是")</f>
        <v>0</v>
      </c>
      <c r="D53" s="51"/>
      <c r="E53" s="51"/>
      <c r="F53" s="51"/>
      <c r="G53" s="51"/>
      <c r="H53" s="69" t="s">
        <v>579</v>
      </c>
      <c r="I53" s="98" t="n">
        <f aca="false">SUM(H6:H52)</f>
        <v>0</v>
      </c>
      <c r="J53" s="69" t="s">
        <v>580</v>
      </c>
      <c r="K53" s="99" t="n">
        <f aca="false">IFERROR(AVERAGE(J6:J52),0)</f>
        <v>0</v>
      </c>
      <c r="L53" s="51"/>
    </row>
  </sheetData>
  <mergeCells count="2">
    <mergeCell ref="A1:L1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38"/>
  </cols>
  <sheetData>
    <row r="1" customFormat="false" ht="23.25" hidden="false" customHeight="true" outlineLevel="0" collapsed="false">
      <c r="A1" s="39" t="s">
        <v>581</v>
      </c>
      <c r="B1" s="39"/>
      <c r="C1" s="39"/>
      <c r="D1" s="39"/>
      <c r="E1" s="39"/>
    </row>
    <row r="3" customFormat="false" ht="15" hidden="false" customHeight="true" outlineLevel="0" collapsed="false">
      <c r="A3" s="62" t="s">
        <v>582</v>
      </c>
      <c r="B3" s="62"/>
      <c r="C3" s="62"/>
      <c r="D3" s="62"/>
      <c r="E3" s="62"/>
    </row>
    <row r="5" customFormat="false" ht="24" hidden="false" customHeight="true" outlineLevel="0" collapsed="false">
      <c r="A5" s="5" t="s">
        <v>52</v>
      </c>
      <c r="B5" s="5" t="s">
        <v>583</v>
      </c>
      <c r="C5" s="5" t="s">
        <v>584</v>
      </c>
      <c r="D5" s="5" t="s">
        <v>585</v>
      </c>
      <c r="E5" s="5" t="s">
        <v>586</v>
      </c>
    </row>
    <row r="6" customFormat="false" ht="15" hidden="false" customHeight="true" outlineLevel="0" collapsed="false">
      <c r="A6" s="22" t="s">
        <v>63</v>
      </c>
      <c r="B6" s="22" t="s">
        <v>587</v>
      </c>
      <c r="C6" s="100" t="n">
        <v>5</v>
      </c>
      <c r="D6" s="17" t="s">
        <v>588</v>
      </c>
      <c r="E6" s="19" t="s">
        <v>589</v>
      </c>
    </row>
    <row r="7" customFormat="false" ht="15" hidden="false" customHeight="true" outlineLevel="0" collapsed="false">
      <c r="A7" s="22" t="s">
        <v>63</v>
      </c>
      <c r="B7" s="22" t="s">
        <v>590</v>
      </c>
      <c r="C7" s="100" t="n">
        <v>20</v>
      </c>
      <c r="D7" s="17" t="s">
        <v>591</v>
      </c>
      <c r="E7" s="19" t="s">
        <v>592</v>
      </c>
    </row>
    <row r="8" customFormat="false" ht="15" hidden="false" customHeight="true" outlineLevel="0" collapsed="false">
      <c r="A8" s="22" t="s">
        <v>63</v>
      </c>
      <c r="B8" s="22" t="s">
        <v>593</v>
      </c>
      <c r="C8" s="100" t="n">
        <v>60</v>
      </c>
      <c r="D8" s="17" t="s">
        <v>594</v>
      </c>
      <c r="E8" s="19" t="s">
        <v>595</v>
      </c>
    </row>
    <row r="9" customFormat="false" ht="15" hidden="false" customHeight="true" outlineLevel="0" collapsed="false">
      <c r="A9" s="22" t="s">
        <v>63</v>
      </c>
      <c r="B9" s="17" t="s">
        <v>596</v>
      </c>
      <c r="C9" s="100" t="n">
        <v>80</v>
      </c>
      <c r="D9" s="17" t="s">
        <v>597</v>
      </c>
      <c r="E9" s="19" t="s">
        <v>598</v>
      </c>
    </row>
    <row r="10" customFormat="false" ht="15" hidden="false" customHeight="true" outlineLevel="0" collapsed="false">
      <c r="A10" s="22" t="s">
        <v>63</v>
      </c>
      <c r="B10" s="17" t="s">
        <v>599</v>
      </c>
      <c r="C10" s="100" t="n">
        <v>20</v>
      </c>
      <c r="D10" s="17" t="s">
        <v>600</v>
      </c>
      <c r="E10" s="19" t="s">
        <v>601</v>
      </c>
    </row>
    <row r="11" customFormat="false" ht="15" hidden="false" customHeight="true" outlineLevel="0" collapsed="false">
      <c r="A11" s="22" t="s">
        <v>63</v>
      </c>
      <c r="B11" s="17" t="s">
        <v>602</v>
      </c>
      <c r="C11" s="100" t="s">
        <v>603</v>
      </c>
      <c r="D11" s="22" t="s">
        <v>604</v>
      </c>
      <c r="E11" s="20" t="s">
        <v>605</v>
      </c>
    </row>
    <row r="12" customFormat="false" ht="15" hidden="false" customHeight="true" outlineLevel="0" collapsed="false">
      <c r="A12" s="22" t="s">
        <v>108</v>
      </c>
      <c r="B12" s="22" t="s">
        <v>606</v>
      </c>
      <c r="C12" s="100" t="n">
        <v>1.5</v>
      </c>
      <c r="D12" s="17" t="s">
        <v>607</v>
      </c>
      <c r="E12" s="19" t="s">
        <v>608</v>
      </c>
    </row>
    <row r="13" customFormat="false" ht="15" hidden="false" customHeight="true" outlineLevel="0" collapsed="false">
      <c r="A13" s="22" t="s">
        <v>108</v>
      </c>
      <c r="B13" s="22" t="s">
        <v>609</v>
      </c>
      <c r="C13" s="100" t="n">
        <v>60</v>
      </c>
      <c r="D13" s="17" t="s">
        <v>610</v>
      </c>
      <c r="E13" s="19" t="s">
        <v>611</v>
      </c>
    </row>
    <row r="14" customFormat="false" ht="15" hidden="false" customHeight="true" outlineLevel="0" collapsed="false">
      <c r="A14" s="22" t="s">
        <v>108</v>
      </c>
      <c r="B14" s="22" t="s">
        <v>612</v>
      </c>
      <c r="C14" s="100" t="n">
        <v>50</v>
      </c>
      <c r="D14" s="17" t="s">
        <v>613</v>
      </c>
      <c r="E14" s="19" t="s">
        <v>614</v>
      </c>
    </row>
    <row r="15" customFormat="false" ht="15" hidden="false" customHeight="true" outlineLevel="0" collapsed="false">
      <c r="A15" s="22" t="s">
        <v>126</v>
      </c>
      <c r="B15" s="22" t="s">
        <v>615</v>
      </c>
      <c r="C15" s="100" t="n">
        <v>5</v>
      </c>
      <c r="D15" s="17" t="s">
        <v>588</v>
      </c>
      <c r="E15" s="19" t="s">
        <v>616</v>
      </c>
    </row>
    <row r="16" customFormat="false" ht="15" hidden="false" customHeight="true" outlineLevel="0" collapsed="false">
      <c r="A16" s="22" t="s">
        <v>126</v>
      </c>
      <c r="B16" s="22" t="s">
        <v>617</v>
      </c>
      <c r="C16" s="100" t="n">
        <v>3</v>
      </c>
      <c r="D16" s="17" t="s">
        <v>618</v>
      </c>
      <c r="E16" s="19" t="s">
        <v>619</v>
      </c>
    </row>
    <row r="17" customFormat="false" ht="15" hidden="false" customHeight="true" outlineLevel="0" collapsed="false">
      <c r="A17" s="22" t="s">
        <v>126</v>
      </c>
      <c r="B17" s="22" t="s">
        <v>620</v>
      </c>
      <c r="C17" s="100" t="n">
        <v>10</v>
      </c>
      <c r="D17" s="17" t="s">
        <v>621</v>
      </c>
      <c r="E17" s="19" t="s">
        <v>622</v>
      </c>
    </row>
    <row r="18" customFormat="false" ht="15" hidden="false" customHeight="true" outlineLevel="0" collapsed="false">
      <c r="A18" s="22" t="s">
        <v>126</v>
      </c>
      <c r="B18" s="22" t="s">
        <v>623</v>
      </c>
      <c r="C18" s="100" t="n">
        <v>4</v>
      </c>
      <c r="D18" s="17" t="s">
        <v>624</v>
      </c>
      <c r="E18" s="19" t="s">
        <v>625</v>
      </c>
    </row>
    <row r="19" customFormat="false" ht="15" hidden="false" customHeight="true" outlineLevel="0" collapsed="false">
      <c r="A19" s="22" t="s">
        <v>126</v>
      </c>
      <c r="B19" s="22" t="s">
        <v>626</v>
      </c>
      <c r="C19" s="100" t="n">
        <v>70</v>
      </c>
      <c r="D19" s="17" t="s">
        <v>627</v>
      </c>
      <c r="E19" s="19" t="s">
        <v>628</v>
      </c>
    </row>
    <row r="20" customFormat="false" ht="15" hidden="false" customHeight="true" outlineLevel="0" collapsed="false">
      <c r="A20" s="22" t="s">
        <v>126</v>
      </c>
      <c r="B20" s="22" t="s">
        <v>629</v>
      </c>
      <c r="C20" s="100" t="n">
        <v>30</v>
      </c>
      <c r="D20" s="17" t="s">
        <v>630</v>
      </c>
      <c r="E20" s="19" t="s">
        <v>631</v>
      </c>
    </row>
    <row r="21" customFormat="false" ht="15" hidden="false" customHeight="true" outlineLevel="0" collapsed="false">
      <c r="A21" s="22" t="s">
        <v>166</v>
      </c>
      <c r="B21" s="22" t="s">
        <v>632</v>
      </c>
      <c r="C21" s="100" t="n">
        <v>15</v>
      </c>
      <c r="D21" s="17" t="s">
        <v>633</v>
      </c>
      <c r="E21" s="19" t="s">
        <v>634</v>
      </c>
    </row>
    <row r="22" customFormat="false" ht="15" hidden="false" customHeight="true" outlineLevel="0" collapsed="false">
      <c r="A22" s="22" t="s">
        <v>166</v>
      </c>
      <c r="B22" s="22" t="s">
        <v>635</v>
      </c>
      <c r="C22" s="100" t="n">
        <v>5</v>
      </c>
      <c r="D22" s="17" t="s">
        <v>636</v>
      </c>
      <c r="E22" s="19" t="s">
        <v>637</v>
      </c>
    </row>
    <row r="23" customFormat="false" ht="15" hidden="false" customHeight="true" outlineLevel="0" collapsed="false">
      <c r="A23" s="22" t="s">
        <v>189</v>
      </c>
      <c r="B23" s="17" t="s">
        <v>638</v>
      </c>
      <c r="C23" s="100" t="n">
        <v>20</v>
      </c>
      <c r="D23" s="17" t="s">
        <v>591</v>
      </c>
      <c r="E23" s="20" t="s">
        <v>639</v>
      </c>
    </row>
    <row r="24" customFormat="false" ht="15" hidden="false" customHeight="true" outlineLevel="0" collapsed="false">
      <c r="A24" s="22" t="s">
        <v>189</v>
      </c>
      <c r="B24" s="17" t="s">
        <v>640</v>
      </c>
      <c r="C24" s="100" t="n">
        <v>15</v>
      </c>
      <c r="D24" s="17" t="s">
        <v>641</v>
      </c>
      <c r="E24" s="19" t="s">
        <v>642</v>
      </c>
    </row>
    <row r="25" customFormat="false" ht="15" hidden="false" customHeight="true" outlineLevel="0" collapsed="false">
      <c r="A25" s="22" t="s">
        <v>189</v>
      </c>
      <c r="B25" s="22" t="s">
        <v>643</v>
      </c>
      <c r="C25" s="100" t="n">
        <v>5</v>
      </c>
      <c r="D25" s="17" t="s">
        <v>644</v>
      </c>
      <c r="E25" s="19" t="s">
        <v>645</v>
      </c>
    </row>
    <row r="26" customFormat="false" ht="15" hidden="false" customHeight="true" outlineLevel="0" collapsed="false">
      <c r="A26" s="22" t="s">
        <v>646</v>
      </c>
      <c r="B26" s="22" t="s">
        <v>647</v>
      </c>
      <c r="C26" s="100" t="n">
        <v>1</v>
      </c>
      <c r="D26" s="17" t="s">
        <v>648</v>
      </c>
      <c r="E26" s="19" t="s">
        <v>649</v>
      </c>
    </row>
    <row r="27" customFormat="false" ht="15" hidden="false" customHeight="true" outlineLevel="0" collapsed="false">
      <c r="A27" s="22" t="s">
        <v>646</v>
      </c>
      <c r="B27" s="22" t="s">
        <v>650</v>
      </c>
      <c r="C27" s="100" t="n">
        <v>20</v>
      </c>
      <c r="D27" s="17" t="s">
        <v>591</v>
      </c>
      <c r="E27" s="19" t="s">
        <v>651</v>
      </c>
    </row>
    <row r="28" customFormat="false" ht="15" hidden="false" customHeight="true" outlineLevel="0" collapsed="false">
      <c r="A28" s="22" t="s">
        <v>646</v>
      </c>
      <c r="B28" s="22" t="s">
        <v>652</v>
      </c>
      <c r="C28" s="100" t="n">
        <v>40</v>
      </c>
      <c r="D28" s="17" t="s">
        <v>653</v>
      </c>
      <c r="E28" s="19" t="s">
        <v>654</v>
      </c>
    </row>
    <row r="29" customFormat="false" ht="15" hidden="false" customHeight="true" outlineLevel="0" collapsed="false">
      <c r="A29" s="22" t="s">
        <v>646</v>
      </c>
      <c r="B29" s="22" t="s">
        <v>655</v>
      </c>
      <c r="C29" s="100" t="n">
        <v>7</v>
      </c>
      <c r="D29" s="17" t="s">
        <v>656</v>
      </c>
      <c r="E29" s="19" t="s">
        <v>657</v>
      </c>
    </row>
    <row r="30" customFormat="false" ht="15" hidden="false" customHeight="true" outlineLevel="0" collapsed="false">
      <c r="A30" s="22" t="s">
        <v>646</v>
      </c>
      <c r="B30" s="17" t="s">
        <v>658</v>
      </c>
      <c r="C30" s="100" t="n">
        <v>2</v>
      </c>
      <c r="D30" s="17" t="s">
        <v>659</v>
      </c>
      <c r="E30" s="19" t="s">
        <v>660</v>
      </c>
    </row>
    <row r="31" customFormat="false" ht="15" hidden="false" customHeight="true" outlineLevel="0" collapsed="false">
      <c r="A31" s="22" t="s">
        <v>646</v>
      </c>
      <c r="B31" s="22" t="s">
        <v>661</v>
      </c>
      <c r="C31" s="100" t="n">
        <v>3</v>
      </c>
      <c r="D31" s="17" t="s">
        <v>618</v>
      </c>
      <c r="E31" s="19" t="s">
        <v>662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2026-05-09T09:14:32Z</dcterms:created>
  <dc:creator>openpyxl</dc:creator>
  <dc:description/>
  <dc:language>en-US</dc:language>
  <cp:lastModifiedBy/>
  <dcterms:modified xsi:type="dcterms:W3CDTF">2026-07-08T02:20:34Z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