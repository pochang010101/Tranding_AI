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資料表總覽" sheetId="1" state="visible" r:id="rId3"/>
    <sheet name="欄位定義" sheetId="2" state="visible" r:id="rId4"/>
    <sheet name="CREATE TABLE SQL" sheetId="3" state="visible" r:id="rId5"/>
    <sheet name="索引與資料清理" sheetId="4" state="visible" r:id="rId6"/>
    <sheet name="資料量估算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<sst xmlns="http://schemas.openxmlformats.org/spreadsheetml/2006/main" count="1060" uniqueCount="526">
  <si>
    <r>
      <rPr>
        <b val="true"/>
        <sz val="16"/>
        <color rgb="FF1F3864"/>
        <rFont val="Noto Sans CJK SC"/>
        <family val="2"/>
        <charset val="1"/>
      </rPr>
      <t xml:space="preserve">資料庫 </t>
    </r>
    <r>
      <rPr>
        <b val="true"/>
        <sz val="16"/>
        <color rgb="FF1F3864"/>
        <rFont val="Microsoft JhengHei"/>
        <family val="0"/>
        <charset val="1"/>
      </rPr>
      <t xml:space="preserve">Schema </t>
    </r>
    <r>
      <rPr>
        <b val="true"/>
        <sz val="16"/>
        <color rgb="FF1F3864"/>
        <rFont val="Noto Sans CJK SC"/>
        <family val="2"/>
        <charset val="1"/>
      </rPr>
      <t xml:space="preserve">總覽</t>
    </r>
  </si>
  <si>
    <r>
      <rPr>
        <i val="true"/>
        <sz val="9"/>
        <color rgb="FF595959"/>
        <rFont val="Noto Sans CJK SC"/>
        <family val="2"/>
        <charset val="1"/>
      </rPr>
      <t xml:space="preserve">台股選股與交易警示系統 — </t>
    </r>
    <r>
      <rPr>
        <i val="true"/>
        <sz val="9"/>
        <color rgb="FF595959"/>
        <rFont val="Microsoft JhengHei"/>
        <family val="0"/>
        <charset val="1"/>
      </rPr>
      <t xml:space="preserve">SQLite </t>
    </r>
    <r>
      <rPr>
        <i val="true"/>
        <sz val="9"/>
        <color rgb="FF595959"/>
        <rFont val="Noto Sans CJK SC"/>
        <family val="2"/>
        <charset val="1"/>
      </rPr>
      <t xml:space="preserve">主資料庫設計（可平滑升級 </t>
    </r>
    <r>
      <rPr>
        <i val="true"/>
        <sz val="9"/>
        <color rgb="FF595959"/>
        <rFont val="Microsoft JhengHei"/>
        <family val="0"/>
        <charset val="1"/>
      </rPr>
      <t xml:space="preserve">PostgreSQL</t>
    </r>
    <r>
      <rPr>
        <i val="true"/>
        <sz val="9"/>
        <color rgb="FF595959"/>
        <rFont val="Noto Sans CJK SC"/>
        <family val="2"/>
        <charset val="1"/>
      </rPr>
      <t xml:space="preserve">）</t>
    </r>
  </si>
  <si>
    <t xml:space="preserve">🗂️ 資料表分類</t>
  </si>
  <si>
    <t xml:space="preserve">編號</t>
  </si>
  <si>
    <t xml:space="preserve">資料表名稱</t>
  </si>
  <si>
    <t xml:space="preserve">分類</t>
  </si>
  <si>
    <t xml:space="preserve">用途</t>
  </si>
  <si>
    <t xml:space="preserve">預估筆數</t>
  </si>
  <si>
    <t xml:space="preserve">更新頻率</t>
  </si>
  <si>
    <t xml:space="preserve">T01</t>
  </si>
  <si>
    <t xml:space="preserve">stocks</t>
  </si>
  <si>
    <t xml:space="preserve">基礎資料</t>
  </si>
  <si>
    <t xml:space="preserve">個股基本資料清單</t>
  </si>
  <si>
    <t xml:space="preserve">~1700</t>
  </si>
  <si>
    <t xml:space="preserve">每週</t>
  </si>
  <si>
    <t xml:space="preserve">T02</t>
  </si>
  <si>
    <t xml:space="preserve">daily_price</t>
  </si>
  <si>
    <t xml:space="preserve">行情資料</t>
  </si>
  <si>
    <r>
      <rPr>
        <sz val="10"/>
        <rFont val="Noto Sans CJK SC"/>
        <family val="2"/>
        <charset val="1"/>
      </rPr>
      <t xml:space="preserve">個股日 </t>
    </r>
    <r>
      <rPr>
        <sz val="10"/>
        <rFont val="Microsoft JhengHei"/>
        <family val="0"/>
        <charset val="1"/>
      </rPr>
      <t xml:space="preserve">K </t>
    </r>
    <r>
      <rPr>
        <sz val="10"/>
        <rFont val="Noto Sans CJK SC"/>
        <family val="2"/>
        <charset val="1"/>
      </rPr>
      <t xml:space="preserve">線（歷史</t>
    </r>
    <r>
      <rPr>
        <sz val="10"/>
        <rFont val="Microsoft JhengHei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每日新增）</t>
    </r>
  </si>
  <si>
    <r>
      <rPr>
        <sz val="10"/>
        <rFont val="Microsoft JhengHei"/>
        <family val="0"/>
        <charset val="1"/>
      </rPr>
      <t xml:space="preserve">~1M/</t>
    </r>
    <r>
      <rPr>
        <sz val="10"/>
        <rFont val="Noto Sans CJK SC"/>
        <family val="2"/>
        <charset val="1"/>
      </rPr>
      <t xml:space="preserve">年</t>
    </r>
  </si>
  <si>
    <t xml:space="preserve">每日盤後</t>
  </si>
  <si>
    <t xml:space="preserve">T03</t>
  </si>
  <si>
    <t xml:space="preserve">institutional_flow</t>
  </si>
  <si>
    <t xml:space="preserve">籌碼資料</t>
  </si>
  <si>
    <t xml:space="preserve">三大法人買賣超</t>
  </si>
  <si>
    <r>
      <rPr>
        <sz val="10"/>
        <rFont val="Microsoft JhengHei"/>
        <family val="0"/>
        <charset val="1"/>
      </rPr>
      <t xml:space="preserve">~1700/</t>
    </r>
    <r>
      <rPr>
        <sz val="10"/>
        <rFont val="Noto Sans CJK SC"/>
        <family val="2"/>
        <charset val="1"/>
      </rPr>
      <t xml:space="preserve">日</t>
    </r>
  </si>
  <si>
    <r>
      <rPr>
        <sz val="10"/>
        <rFont val="Noto Sans CJK SC"/>
        <family val="2"/>
        <charset val="1"/>
      </rPr>
      <t xml:space="preserve">每日 </t>
    </r>
    <r>
      <rPr>
        <sz val="10"/>
        <rFont val="Microsoft JhengHei"/>
        <family val="0"/>
        <charset val="1"/>
      </rPr>
      <t xml:space="preserve">16:30</t>
    </r>
  </si>
  <si>
    <t xml:space="preserve">T04</t>
  </si>
  <si>
    <t xml:space="preserve">margin_balance</t>
  </si>
  <si>
    <t xml:space="preserve">融資融券餘額</t>
  </si>
  <si>
    <r>
      <rPr>
        <sz val="10"/>
        <rFont val="Noto Sans CJK SC"/>
        <family val="2"/>
        <charset val="1"/>
      </rPr>
      <t xml:space="preserve">每日 </t>
    </r>
    <r>
      <rPr>
        <sz val="10"/>
        <rFont val="Microsoft JhengHei"/>
        <family val="0"/>
        <charset val="1"/>
      </rPr>
      <t xml:space="preserve">15:00</t>
    </r>
  </si>
  <si>
    <t xml:space="preserve">T05</t>
  </si>
  <si>
    <t xml:space="preserve">shareholding_dist</t>
  </si>
  <si>
    <t xml:space="preserve">集保股權分散（千張大戶）</t>
  </si>
  <si>
    <r>
      <rPr>
        <sz val="10"/>
        <rFont val="Microsoft JhengHei"/>
        <family val="0"/>
        <charset val="1"/>
      </rPr>
      <t xml:space="preserve">~1700/</t>
    </r>
    <r>
      <rPr>
        <sz val="10"/>
        <rFont val="Noto Sans CJK SC"/>
        <family val="2"/>
        <charset val="1"/>
      </rPr>
      <t xml:space="preserve">週</t>
    </r>
  </si>
  <si>
    <t xml:space="preserve">T06</t>
  </si>
  <si>
    <t xml:space="preserve">broker_trades</t>
  </si>
  <si>
    <t xml:space="preserve">券商分點進出（可選）</t>
  </si>
  <si>
    <r>
      <rPr>
        <sz val="10"/>
        <rFont val="Microsoft JhengHei"/>
        <family val="0"/>
        <charset val="1"/>
      </rPr>
      <t xml:space="preserve">~50k/</t>
    </r>
    <r>
      <rPr>
        <sz val="10"/>
        <rFont val="Noto Sans CJK SC"/>
        <family val="2"/>
        <charset val="1"/>
      </rPr>
      <t xml:space="preserve">日</t>
    </r>
  </si>
  <si>
    <t xml:space="preserve">T07</t>
  </si>
  <si>
    <t xml:space="preserve">monthly_revenue</t>
  </si>
  <si>
    <t xml:space="preserve">基本面</t>
  </si>
  <si>
    <t xml:space="preserve">月營收公告</t>
  </si>
  <si>
    <r>
      <rPr>
        <sz val="10"/>
        <rFont val="Microsoft JhengHei"/>
        <family val="0"/>
        <charset val="1"/>
      </rPr>
      <t xml:space="preserve">~1700/</t>
    </r>
    <r>
      <rPr>
        <sz val="10"/>
        <rFont val="Noto Sans CJK SC"/>
        <family val="2"/>
        <charset val="1"/>
      </rPr>
      <t xml:space="preserve">月</t>
    </r>
  </si>
  <si>
    <r>
      <rPr>
        <sz val="10"/>
        <rFont val="Noto Sans CJK SC"/>
        <family val="2"/>
        <charset val="1"/>
      </rPr>
      <t xml:space="preserve">每月 </t>
    </r>
    <r>
      <rPr>
        <sz val="10"/>
        <rFont val="Microsoft JhengHei"/>
        <family val="0"/>
        <charset val="1"/>
      </rPr>
      <t xml:space="preserve">10 </t>
    </r>
    <r>
      <rPr>
        <sz val="10"/>
        <rFont val="Noto Sans CJK SC"/>
        <family val="2"/>
        <charset val="1"/>
      </rPr>
      <t xml:space="preserve">日</t>
    </r>
  </si>
  <si>
    <t xml:space="preserve">T08</t>
  </si>
  <si>
    <t xml:space="preserve">quarterly_financial</t>
  </si>
  <si>
    <t xml:space="preserve">季報財務數字</t>
  </si>
  <si>
    <r>
      <rPr>
        <sz val="10"/>
        <rFont val="Microsoft JhengHei"/>
        <family val="0"/>
        <charset val="1"/>
      </rPr>
      <t xml:space="preserve">~1700/</t>
    </r>
    <r>
      <rPr>
        <sz val="10"/>
        <rFont val="Noto Sans CJK SC"/>
        <family val="2"/>
        <charset val="1"/>
      </rPr>
      <t xml:space="preserve">季</t>
    </r>
  </si>
  <si>
    <t xml:space="preserve">每季</t>
  </si>
  <si>
    <t xml:space="preserve">T09</t>
  </si>
  <si>
    <t xml:space="preserve">futures_daily</t>
  </si>
  <si>
    <t xml:space="preserve">期貨</t>
  </si>
  <si>
    <t xml:space="preserve">台指期每日交易資料</t>
  </si>
  <si>
    <r>
      <rPr>
        <sz val="10"/>
        <rFont val="Microsoft JhengHei"/>
        <family val="0"/>
        <charset val="1"/>
      </rPr>
      <t xml:space="preserve">~5/</t>
    </r>
    <r>
      <rPr>
        <sz val="10"/>
        <rFont val="Noto Sans CJK SC"/>
        <family val="2"/>
        <charset val="1"/>
      </rPr>
      <t xml:space="preserve">日</t>
    </r>
  </si>
  <si>
    <r>
      <rPr>
        <sz val="10"/>
        <rFont val="Noto Sans CJK SC"/>
        <family val="2"/>
        <charset val="1"/>
      </rPr>
      <t xml:space="preserve">每日 </t>
    </r>
    <r>
      <rPr>
        <sz val="10"/>
        <rFont val="Microsoft JhengHei"/>
        <family val="0"/>
        <charset val="1"/>
      </rPr>
      <t xml:space="preserve">15:30</t>
    </r>
  </si>
  <si>
    <t xml:space="preserve">T10</t>
  </si>
  <si>
    <t xml:space="preserve">futures_oi</t>
  </si>
  <si>
    <t xml:space="preserve">三大法人期貨部位、大額交易人</t>
  </si>
  <si>
    <r>
      <rPr>
        <sz val="10"/>
        <rFont val="Microsoft JhengHei"/>
        <family val="0"/>
        <charset val="1"/>
      </rPr>
      <t xml:space="preserve">~10/</t>
    </r>
    <r>
      <rPr>
        <sz val="10"/>
        <rFont val="Noto Sans CJK SC"/>
        <family val="2"/>
        <charset val="1"/>
      </rPr>
      <t xml:space="preserve">日</t>
    </r>
  </si>
  <si>
    <t xml:space="preserve">T11</t>
  </si>
  <si>
    <t xml:space="preserve">pc_ratio</t>
  </si>
  <si>
    <t xml:space="preserve">Put/Call Ratio</t>
  </si>
  <si>
    <r>
      <rPr>
        <sz val="10"/>
        <rFont val="Microsoft JhengHei"/>
        <family val="0"/>
        <charset val="1"/>
      </rPr>
      <t xml:space="preserve">1/</t>
    </r>
    <r>
      <rPr>
        <sz val="10"/>
        <rFont val="Noto Sans CJK SC"/>
        <family val="2"/>
        <charset val="1"/>
      </rPr>
      <t xml:space="preserve">日</t>
    </r>
  </si>
  <si>
    <t xml:space="preserve">T12</t>
  </si>
  <si>
    <t xml:space="preserve">strategies</t>
  </si>
  <si>
    <t xml:space="preserve">系統設定</t>
  </si>
  <si>
    <r>
      <rPr>
        <sz val="10"/>
        <rFont val="Noto Sans CJK SC"/>
        <family val="2"/>
        <charset val="1"/>
      </rPr>
      <t xml:space="preserve">策略定義與參數（</t>
    </r>
    <r>
      <rPr>
        <sz val="10"/>
        <rFont val="Microsoft JhengHei"/>
        <family val="0"/>
        <charset val="1"/>
      </rPr>
      <t xml:space="preserve">46 </t>
    </r>
    <r>
      <rPr>
        <sz val="10"/>
        <rFont val="Noto Sans CJK SC"/>
        <family val="2"/>
        <charset val="1"/>
      </rPr>
      <t xml:space="preserve">策略）</t>
    </r>
  </si>
  <si>
    <t xml:space="preserve">46</t>
  </si>
  <si>
    <t xml:space="preserve">手動維護</t>
  </si>
  <si>
    <t xml:space="preserve">T13</t>
  </si>
  <si>
    <t xml:space="preserve">strategy_params</t>
  </si>
  <si>
    <r>
      <rPr>
        <sz val="10"/>
        <rFont val="Noto Sans CJK SC"/>
        <family val="2"/>
        <charset val="1"/>
      </rPr>
      <t xml:space="preserve">策略可調參數（</t>
    </r>
    <r>
      <rPr>
        <sz val="10"/>
        <rFont val="Microsoft JhengHei"/>
        <family val="0"/>
        <charset val="1"/>
      </rPr>
      <t xml:space="preserve">key-value</t>
    </r>
    <r>
      <rPr>
        <sz val="10"/>
        <rFont val="Noto Sans CJK SC"/>
        <family val="2"/>
        <charset val="1"/>
      </rPr>
      <t xml:space="preserve">）</t>
    </r>
  </si>
  <si>
    <t xml:space="preserve">~30</t>
  </si>
  <si>
    <t xml:space="preserve">T14</t>
  </si>
  <si>
    <t xml:space="preserve">watchlist</t>
  </si>
  <si>
    <t xml:space="preserve">業務資料</t>
  </si>
  <si>
    <t xml:space="preserve">當日觀察清單</t>
  </si>
  <si>
    <r>
      <rPr>
        <sz val="10"/>
        <rFont val="Microsoft JhengHei"/>
        <family val="0"/>
        <charset val="1"/>
      </rPr>
      <t xml:space="preserve">3-5/</t>
    </r>
    <r>
      <rPr>
        <sz val="10"/>
        <rFont val="Noto Sans CJK SC"/>
        <family val="2"/>
        <charset val="1"/>
      </rPr>
      <t xml:space="preserve">日</t>
    </r>
  </si>
  <si>
    <t xml:space="preserve">T15</t>
  </si>
  <si>
    <t xml:space="preserve">signal_log</t>
  </si>
  <si>
    <t xml:space="preserve">所有訊號歷史記錄</t>
  </si>
  <si>
    <r>
      <rPr>
        <sz val="10"/>
        <rFont val="Microsoft JhengHei"/>
        <family val="0"/>
        <charset val="1"/>
      </rPr>
      <t xml:space="preserve">~50/</t>
    </r>
    <r>
      <rPr>
        <sz val="10"/>
        <rFont val="Noto Sans CJK SC"/>
        <family val="2"/>
        <charset val="1"/>
      </rPr>
      <t xml:space="preserve">日</t>
    </r>
  </si>
  <si>
    <t xml:space="preserve">即時</t>
  </si>
  <si>
    <t xml:space="preserve">T16</t>
  </si>
  <si>
    <t xml:space="preserve">positions</t>
  </si>
  <si>
    <t xml:space="preserve">目前持有部位</t>
  </si>
  <si>
    <t xml:space="preserve">~5</t>
  </si>
  <si>
    <t xml:space="preserve">T17</t>
  </si>
  <si>
    <t xml:space="preserve">trade_journal</t>
  </si>
  <si>
    <t xml:space="preserve">交易日誌（已完成交易）</t>
  </si>
  <si>
    <t xml:space="preserve">累積</t>
  </si>
  <si>
    <t xml:space="preserve">每筆交易</t>
  </si>
  <si>
    <t xml:space="preserve">T18</t>
  </si>
  <si>
    <t xml:space="preserve">risk_events</t>
  </si>
  <si>
    <t xml:space="preserve">風控觸發事件記錄</t>
  </si>
  <si>
    <t xml:space="preserve">少量</t>
  </si>
  <si>
    <t xml:space="preserve">T19</t>
  </si>
  <si>
    <t xml:space="preserve">system_config</t>
  </si>
  <si>
    <r>
      <rPr>
        <sz val="10"/>
        <rFont val="Noto Sans CJK SC"/>
        <family val="2"/>
        <charset val="1"/>
      </rPr>
      <t xml:space="preserve">系統全域設定 </t>
    </r>
    <r>
      <rPr>
        <sz val="10"/>
        <rFont val="Microsoft JhengHei"/>
        <family val="0"/>
        <charset val="1"/>
      </rPr>
      <t xml:space="preserve">(key-value)</t>
    </r>
  </si>
  <si>
    <t xml:space="preserve">T20</t>
  </si>
  <si>
    <t xml:space="preserve">fetch_log</t>
  </si>
  <si>
    <t xml:space="preserve">系統維運</t>
  </si>
  <si>
    <t xml:space="preserve">資料抓取日誌</t>
  </si>
  <si>
    <r>
      <rPr>
        <sz val="10"/>
        <rFont val="Microsoft JhengHei"/>
        <family val="0"/>
        <charset val="1"/>
      </rPr>
      <t xml:space="preserve">~20/</t>
    </r>
    <r>
      <rPr>
        <sz val="10"/>
        <rFont val="Noto Sans CJK SC"/>
        <family val="2"/>
        <charset val="1"/>
      </rPr>
      <t xml:space="preserve">日</t>
    </r>
  </si>
  <si>
    <t xml:space="preserve">🔗 主要關聯</t>
  </si>
  <si>
    <t xml:space="preserve">stocks (T01) ─── 1:N ──► daily_price (T02)</t>
  </si>
  <si>
    <t xml:space="preserve">stocks (T01) ─── 1:N ──► institutional_flow (T03)</t>
  </si>
  <si>
    <t xml:space="preserve">stocks (T01) ─── 1:N ──► margin_balance (T04)</t>
  </si>
  <si>
    <t xml:space="preserve">stocks (T01) ─── 1:N ──► monthly_revenue (T07)</t>
  </si>
  <si>
    <t xml:space="preserve">stocks (T01) ─── 1:N ──► watchlist (T14) ─── 1:N ──► signal_log (T15)</t>
  </si>
  <si>
    <t xml:space="preserve">watchlist (T14) ─── 1:1 ──► positions (T16) ─── 1:1 ──► trade_journal (T17)</t>
  </si>
  <si>
    <r>
      <rPr>
        <sz val="10"/>
        <color rgb="FF1F3864"/>
        <rFont val="Consolas"/>
        <family val="0"/>
        <charset val="1"/>
      </rPr>
      <t xml:space="preserve">strategies (T12) ─── 1:N ──► signal_log (T15)</t>
    </r>
    <r>
      <rPr>
        <sz val="10"/>
        <color rgb="FF1F3864"/>
        <rFont val="Noto Sans CJK SC"/>
        <family val="2"/>
        <charset val="1"/>
      </rPr>
      <t xml:space="preserve">（哪個策略觸發）</t>
    </r>
  </si>
  <si>
    <t xml:space="preserve">資料表欄位詳細定義</t>
  </si>
  <si>
    <r>
      <rPr>
        <i val="true"/>
        <sz val="9"/>
        <color rgb="FF595959"/>
        <rFont val="Noto Sans CJK SC"/>
        <family val="2"/>
        <charset val="1"/>
      </rPr>
      <t xml:space="preserve">所有資料表的欄位規格。</t>
    </r>
    <r>
      <rPr>
        <i val="true"/>
        <sz val="9"/>
        <color rgb="FF595959"/>
        <rFont val="Microsoft JhengHei"/>
        <family val="0"/>
        <charset val="1"/>
      </rPr>
      <t xml:space="preserve">PK = </t>
    </r>
    <r>
      <rPr>
        <i val="true"/>
        <sz val="9"/>
        <color rgb="FF595959"/>
        <rFont val="Noto Sans CJK SC"/>
        <family val="2"/>
        <charset val="1"/>
      </rPr>
      <t xml:space="preserve">主鍵、</t>
    </r>
    <r>
      <rPr>
        <i val="true"/>
        <sz val="9"/>
        <color rgb="FF595959"/>
        <rFont val="Microsoft JhengHei"/>
        <family val="0"/>
        <charset val="1"/>
      </rPr>
      <t xml:space="preserve">FK = </t>
    </r>
    <r>
      <rPr>
        <i val="true"/>
        <sz val="9"/>
        <color rgb="FF595959"/>
        <rFont val="Noto Sans CJK SC"/>
        <family val="2"/>
        <charset val="1"/>
      </rPr>
      <t xml:space="preserve">外鍵、</t>
    </r>
    <r>
      <rPr>
        <i val="true"/>
        <sz val="9"/>
        <color rgb="FF595959"/>
        <rFont val="Microsoft JhengHei"/>
        <family val="0"/>
        <charset val="1"/>
      </rPr>
      <t xml:space="preserve">NN = NOT NULL</t>
    </r>
    <r>
      <rPr>
        <i val="true"/>
        <sz val="9"/>
        <color rgb="FF595959"/>
        <rFont val="Noto Sans CJK SC"/>
        <family val="2"/>
        <charset val="1"/>
      </rPr>
      <t xml:space="preserve">、</t>
    </r>
    <r>
      <rPr>
        <i val="true"/>
        <sz val="9"/>
        <color rgb="FF595959"/>
        <rFont val="Microsoft JhengHei"/>
        <family val="0"/>
        <charset val="1"/>
      </rPr>
      <t xml:space="preserve">IDX = </t>
    </r>
    <r>
      <rPr>
        <i val="true"/>
        <sz val="9"/>
        <color rgb="FF595959"/>
        <rFont val="Noto Sans CJK SC"/>
        <family val="2"/>
        <charset val="1"/>
      </rPr>
      <t xml:space="preserve">需建立索引</t>
    </r>
  </si>
  <si>
    <r>
      <rPr>
        <b val="true"/>
        <sz val="12"/>
        <color rgb="FFFFFFFF"/>
        <rFont val="Microsoft JhengHei"/>
        <family val="0"/>
        <charset val="1"/>
      </rPr>
      <t xml:space="preserve">T01 stocks </t>
    </r>
    <r>
      <rPr>
        <b val="true"/>
        <sz val="12"/>
        <color rgb="FFFFFFFF"/>
        <rFont val="Noto Sans CJK SC"/>
        <family val="2"/>
        <charset val="1"/>
      </rPr>
      <t xml:space="preserve">個股基本資料</t>
    </r>
  </si>
  <si>
    <t xml:space="preserve">欄位名稱</t>
  </si>
  <si>
    <t xml:space="preserve">資料型別</t>
  </si>
  <si>
    <t xml:space="preserve">約束</t>
  </si>
  <si>
    <t xml:space="preserve">說明</t>
  </si>
  <si>
    <t xml:space="preserve">stock_id</t>
  </si>
  <si>
    <t xml:space="preserve">TEXT</t>
  </si>
  <si>
    <t xml:space="preserve">PK, NN</t>
  </si>
  <si>
    <r>
      <rPr>
        <sz val="10"/>
        <rFont val="Noto Sans CJK SC"/>
        <family val="2"/>
        <charset val="1"/>
      </rPr>
      <t xml:space="preserve">股票代碼，例：</t>
    </r>
    <r>
      <rPr>
        <sz val="10"/>
        <rFont val="Microsoft JhengHei"/>
        <family val="0"/>
        <charset val="1"/>
      </rPr>
      <t xml:space="preserve">2330</t>
    </r>
  </si>
  <si>
    <t xml:space="preserve">stock_name</t>
  </si>
  <si>
    <t xml:space="preserve">NN</t>
  </si>
  <si>
    <t xml:space="preserve">股票名稱</t>
  </si>
  <si>
    <t xml:space="preserve">market_type</t>
  </si>
  <si>
    <t xml:space="preserve">NN, IDX</t>
  </si>
  <si>
    <r>
      <rPr>
        <sz val="10"/>
        <rFont val="Noto Sans CJK SC"/>
        <family val="2"/>
        <charset val="1"/>
      </rPr>
      <t xml:space="preserve">上市 </t>
    </r>
    <r>
      <rPr>
        <sz val="10"/>
        <rFont val="Microsoft JhengHei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上櫃</t>
    </r>
  </si>
  <si>
    <t xml:space="preserve">industry</t>
  </si>
  <si>
    <t xml:space="preserve">IDX</t>
  </si>
  <si>
    <t xml:space="preserve">產業別，例：半導體</t>
  </si>
  <si>
    <t xml:space="preserve">listing_date</t>
  </si>
  <si>
    <t xml:space="preserve">DATE</t>
  </si>
  <si>
    <t xml:space="preserve">上市日期</t>
  </si>
  <si>
    <t xml:space="preserve">is_active</t>
  </si>
  <si>
    <t xml:space="preserve">INTEGER</t>
  </si>
  <si>
    <r>
      <rPr>
        <sz val="10"/>
        <rFont val="Noto Sans CJK SC"/>
        <family val="2"/>
        <charset val="1"/>
      </rPr>
      <t xml:space="preserve">是否可交易，</t>
    </r>
    <r>
      <rPr>
        <sz val="10"/>
        <rFont val="Microsoft JhengHei"/>
        <family val="0"/>
        <charset val="1"/>
      </rPr>
      <t xml:space="preserve">0/1</t>
    </r>
  </si>
  <si>
    <t xml:space="preserve">is_notice</t>
  </si>
  <si>
    <r>
      <rPr>
        <sz val="10"/>
        <rFont val="Noto Sans CJK SC"/>
        <family val="2"/>
        <charset val="1"/>
      </rPr>
      <t xml:space="preserve">警示股旗標，</t>
    </r>
    <r>
      <rPr>
        <sz val="10"/>
        <rFont val="Microsoft JhengHei"/>
        <family val="0"/>
        <charset val="1"/>
      </rPr>
      <t xml:space="preserve">0/1</t>
    </r>
  </si>
  <si>
    <t xml:space="preserve">updated_at</t>
  </si>
  <si>
    <t xml:space="preserve">TIMESTAMP</t>
  </si>
  <si>
    <t xml:space="preserve">最後更新時間</t>
  </si>
  <si>
    <r>
      <rPr>
        <b val="true"/>
        <sz val="12"/>
        <color rgb="FFFFFFFF"/>
        <rFont val="Microsoft JhengHei"/>
        <family val="0"/>
        <charset val="1"/>
      </rPr>
      <t xml:space="preserve">T02 daily_price </t>
    </r>
    <r>
      <rPr>
        <b val="true"/>
        <sz val="12"/>
        <color rgb="FFFFFFFF"/>
        <rFont val="Noto Sans CJK SC"/>
        <family val="2"/>
        <charset val="1"/>
      </rPr>
      <t xml:space="preserve">個股日 </t>
    </r>
    <r>
      <rPr>
        <b val="true"/>
        <sz val="12"/>
        <color rgb="FFFFFFFF"/>
        <rFont val="Microsoft JhengHei"/>
        <family val="0"/>
        <charset val="1"/>
      </rPr>
      <t xml:space="preserve">K </t>
    </r>
    <r>
      <rPr>
        <b val="true"/>
        <sz val="12"/>
        <color rgb="FFFFFFFF"/>
        <rFont val="Noto Sans CJK SC"/>
        <family val="2"/>
        <charset val="1"/>
      </rPr>
      <t xml:space="preserve">線</t>
    </r>
  </si>
  <si>
    <t xml:space="preserve">id</t>
  </si>
  <si>
    <t xml:space="preserve">PK, AUTO</t>
  </si>
  <si>
    <t xml:space="preserve">自增主鍵</t>
  </si>
  <si>
    <t xml:space="preserve">FK, NN, IDX</t>
  </si>
  <si>
    <t xml:space="preserve">個股代碼</t>
  </si>
  <si>
    <t xml:space="preserve">trade_date</t>
  </si>
  <si>
    <t xml:space="preserve">交易日</t>
  </si>
  <si>
    <t xml:space="preserve">open</t>
  </si>
  <si>
    <t xml:space="preserve">REAL</t>
  </si>
  <si>
    <t xml:space="preserve">開盤價</t>
  </si>
  <si>
    <t xml:space="preserve">high</t>
  </si>
  <si>
    <t xml:space="preserve">最高價</t>
  </si>
  <si>
    <t xml:space="preserve">low</t>
  </si>
  <si>
    <t xml:space="preserve">最低價</t>
  </si>
  <si>
    <t xml:space="preserve">close</t>
  </si>
  <si>
    <t xml:space="preserve">收盤價</t>
  </si>
  <si>
    <t xml:space="preserve">volume</t>
  </si>
  <si>
    <t xml:space="preserve">成交量（張）</t>
  </si>
  <si>
    <t xml:space="preserve">amount</t>
  </si>
  <si>
    <t xml:space="preserve">成交金額</t>
  </si>
  <si>
    <t xml:space="preserve">adj_close</t>
  </si>
  <si>
    <t xml:space="preserve">還原權值收盤價</t>
  </si>
  <si>
    <t xml:space="preserve">UNIQUE(stock_id, trade_date)</t>
  </si>
  <si>
    <t xml:space="preserve">同股同日僅一筆</t>
  </si>
  <si>
    <r>
      <rPr>
        <b val="true"/>
        <sz val="12"/>
        <color rgb="FFFFFFFF"/>
        <rFont val="Microsoft JhengHei"/>
        <family val="0"/>
        <charset val="1"/>
      </rPr>
      <t xml:space="preserve">T03 institutional_flow </t>
    </r>
    <r>
      <rPr>
        <b val="true"/>
        <sz val="12"/>
        <color rgb="FFFFFFFF"/>
        <rFont val="Noto Sans CJK SC"/>
        <family val="2"/>
        <charset val="1"/>
      </rPr>
      <t xml:space="preserve">三大法人買賣超</t>
    </r>
  </si>
  <si>
    <t xml:space="preserve">foreign_buy</t>
  </si>
  <si>
    <t xml:space="preserve">外資買超張數</t>
  </si>
  <si>
    <t xml:space="preserve">foreign_sell</t>
  </si>
  <si>
    <t xml:space="preserve">外資賣超張數</t>
  </si>
  <si>
    <t xml:space="preserve">foreign_net</t>
  </si>
  <si>
    <t xml:space="preserve">外資買賣超</t>
  </si>
  <si>
    <t xml:space="preserve">trust_net</t>
  </si>
  <si>
    <t xml:space="preserve">投信買賣超</t>
  </si>
  <si>
    <t xml:space="preserve">dealer_net</t>
  </si>
  <si>
    <t xml:space="preserve">自營商買賣超</t>
  </si>
  <si>
    <t xml:space="preserve">total_net</t>
  </si>
  <si>
    <t xml:space="preserve">三大法人合計</t>
  </si>
  <si>
    <r>
      <rPr>
        <b val="true"/>
        <sz val="12"/>
        <color rgb="FFFFFFFF"/>
        <rFont val="Microsoft JhengHei"/>
        <family val="0"/>
        <charset val="1"/>
      </rPr>
      <t xml:space="preserve">T04 margin_balance </t>
    </r>
    <r>
      <rPr>
        <b val="true"/>
        <sz val="12"/>
        <color rgb="FFFFFFFF"/>
        <rFont val="Noto Sans CJK SC"/>
        <family val="2"/>
        <charset val="1"/>
      </rPr>
      <t xml:space="preserve">融資融券餘額</t>
    </r>
  </si>
  <si>
    <t xml:space="preserve">融資餘額（張）</t>
  </si>
  <si>
    <t xml:space="preserve">margin_change</t>
  </si>
  <si>
    <t xml:space="preserve">融資增減</t>
  </si>
  <si>
    <t xml:space="preserve">short_balance</t>
  </si>
  <si>
    <t xml:space="preserve">融券餘額（張）</t>
  </si>
  <si>
    <t xml:space="preserve">short_change</t>
  </si>
  <si>
    <t xml:space="preserve">融券增減</t>
  </si>
  <si>
    <t xml:space="preserve">margin_ratio</t>
  </si>
  <si>
    <r>
      <rPr>
        <sz val="10"/>
        <rFont val="Noto Sans CJK SC"/>
        <family val="2"/>
        <charset val="1"/>
      </rPr>
      <t xml:space="preserve">券資比 </t>
    </r>
    <r>
      <rPr>
        <sz val="10"/>
        <rFont val="Microsoft JhengHei"/>
        <family val="0"/>
        <charset val="1"/>
      </rPr>
      <t xml:space="preserve">= </t>
    </r>
    <r>
      <rPr>
        <sz val="10"/>
        <rFont val="Noto Sans CJK SC"/>
        <family val="2"/>
        <charset val="1"/>
      </rPr>
      <t xml:space="preserve">融券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融資</t>
    </r>
  </si>
  <si>
    <r>
      <rPr>
        <b val="true"/>
        <sz val="12"/>
        <color rgb="FFFFFFFF"/>
        <rFont val="Microsoft JhengHei"/>
        <family val="0"/>
        <charset val="1"/>
      </rPr>
      <t xml:space="preserve">T05 shareholding_dist </t>
    </r>
    <r>
      <rPr>
        <b val="true"/>
        <sz val="12"/>
        <color rgb="FFFFFFFF"/>
        <rFont val="Noto Sans CJK SC"/>
        <family val="2"/>
        <charset val="1"/>
      </rPr>
      <t xml:space="preserve">集保股權分散（週）</t>
    </r>
  </si>
  <si>
    <t xml:space="preserve">week_date</t>
  </si>
  <si>
    <t xml:space="preserve">週報基準日</t>
  </si>
  <si>
    <t xml:space="preserve">holders_400_shares</t>
  </si>
  <si>
    <r>
      <rPr>
        <sz val="10"/>
        <rFont val="Noto Sans CJK SC"/>
        <family val="2"/>
        <charset val="1"/>
      </rPr>
      <t xml:space="preserve">持有 ≥ </t>
    </r>
    <r>
      <rPr>
        <sz val="10"/>
        <rFont val="Microsoft JhengHei"/>
        <family val="0"/>
        <charset val="1"/>
      </rPr>
      <t xml:space="preserve">400 </t>
    </r>
    <r>
      <rPr>
        <sz val="10"/>
        <rFont val="Noto Sans CJK SC"/>
        <family val="2"/>
        <charset val="1"/>
      </rPr>
      <t xml:space="preserve">張人數</t>
    </r>
  </si>
  <si>
    <t xml:space="preserve">holders_1000_shares</t>
  </si>
  <si>
    <r>
      <rPr>
        <sz val="10"/>
        <rFont val="Noto Sans CJK SC"/>
        <family val="2"/>
        <charset val="1"/>
      </rPr>
      <t xml:space="preserve">持有 ≥ </t>
    </r>
    <r>
      <rPr>
        <sz val="10"/>
        <rFont val="Microsoft JhengHei"/>
        <family val="0"/>
        <charset val="1"/>
      </rPr>
      <t xml:space="preserve">1000 </t>
    </r>
    <r>
      <rPr>
        <sz val="10"/>
        <rFont val="Noto Sans CJK SC"/>
        <family val="2"/>
        <charset val="1"/>
      </rPr>
      <t xml:space="preserve">張人數</t>
    </r>
  </si>
  <si>
    <t xml:space="preserve">pct_400_shares</t>
  </si>
  <si>
    <r>
      <rPr>
        <sz val="10"/>
        <rFont val="Microsoft JhengHei"/>
        <family val="0"/>
        <charset val="1"/>
      </rPr>
      <t xml:space="preserve">400 </t>
    </r>
    <r>
      <rPr>
        <sz val="10"/>
        <rFont val="Noto Sans CJK SC"/>
        <family val="2"/>
        <charset val="1"/>
      </rPr>
      <t xml:space="preserve">張大戶持股比例</t>
    </r>
  </si>
  <si>
    <t xml:space="preserve">pct_1000_shares</t>
  </si>
  <si>
    <t xml:space="preserve">千張大戶持股比例</t>
  </si>
  <si>
    <t xml:space="preserve">total_holders</t>
  </si>
  <si>
    <t xml:space="preserve">總股東人數</t>
  </si>
  <si>
    <r>
      <rPr>
        <b val="true"/>
        <sz val="12"/>
        <color rgb="FFFFFFFF"/>
        <rFont val="Microsoft JhengHei"/>
        <family val="0"/>
        <charset val="1"/>
      </rPr>
      <t xml:space="preserve">T06 broker_trades </t>
    </r>
    <r>
      <rPr>
        <b val="true"/>
        <sz val="12"/>
        <color rgb="FFFFFFFF"/>
        <rFont val="Noto Sans CJK SC"/>
        <family val="2"/>
        <charset val="1"/>
      </rPr>
      <t xml:space="preserve">券商分點進出</t>
    </r>
  </si>
  <si>
    <t xml:space="preserve">broker_id</t>
  </si>
  <si>
    <t xml:space="preserve">券商代碼</t>
  </si>
  <si>
    <t xml:space="preserve">broker_name</t>
  </si>
  <si>
    <t xml:space="preserve">券商名稱</t>
  </si>
  <si>
    <t xml:space="preserve">buy_volume</t>
  </si>
  <si>
    <t xml:space="preserve">買進張數</t>
  </si>
  <si>
    <t xml:space="preserve">sell_volume</t>
  </si>
  <si>
    <t xml:space="preserve">賣出張數</t>
  </si>
  <si>
    <t xml:space="preserve">net_volume</t>
  </si>
  <si>
    <t xml:space="preserve">淨買賣超</t>
  </si>
  <si>
    <t xml:space="preserve">avg_price</t>
  </si>
  <si>
    <t xml:space="preserve">均價</t>
  </si>
  <si>
    <r>
      <rPr>
        <b val="true"/>
        <sz val="12"/>
        <color rgb="FFFFFFFF"/>
        <rFont val="Microsoft JhengHei"/>
        <family val="0"/>
        <charset val="1"/>
      </rPr>
      <t xml:space="preserve">T07 monthly_revenue </t>
    </r>
    <r>
      <rPr>
        <b val="true"/>
        <sz val="12"/>
        <color rgb="FFFFFFFF"/>
        <rFont val="Noto Sans CJK SC"/>
        <family val="2"/>
        <charset val="1"/>
      </rPr>
      <t xml:space="preserve">月營收</t>
    </r>
  </si>
  <si>
    <t xml:space="preserve">revenue_month</t>
  </si>
  <si>
    <r>
      <rPr>
        <sz val="10"/>
        <rFont val="Noto Sans CJK SC"/>
        <family val="2"/>
        <charset val="1"/>
      </rPr>
      <t xml:space="preserve">營收月份，例：</t>
    </r>
    <r>
      <rPr>
        <sz val="10"/>
        <rFont val="Microsoft JhengHei"/>
        <family val="0"/>
        <charset val="1"/>
      </rPr>
      <t xml:space="preserve">2026-04</t>
    </r>
  </si>
  <si>
    <t xml:space="preserve">revenue</t>
  </si>
  <si>
    <t xml:space="preserve">當月營收</t>
  </si>
  <si>
    <t xml:space="preserve">mom_change</t>
  </si>
  <si>
    <r>
      <rPr>
        <sz val="10"/>
        <rFont val="Noto Sans CJK SC"/>
        <family val="2"/>
        <charset val="1"/>
      </rPr>
      <t xml:space="preserve">月增率 </t>
    </r>
    <r>
      <rPr>
        <sz val="10"/>
        <rFont val="Microsoft JhengHei"/>
        <family val="0"/>
        <charset val="1"/>
      </rPr>
      <t xml:space="preserve">%</t>
    </r>
  </si>
  <si>
    <t xml:space="preserve">yoy_change</t>
  </si>
  <si>
    <r>
      <rPr>
        <sz val="10"/>
        <rFont val="Noto Sans CJK SC"/>
        <family val="2"/>
        <charset val="1"/>
      </rPr>
      <t xml:space="preserve">年增率 </t>
    </r>
    <r>
      <rPr>
        <sz val="10"/>
        <rFont val="Microsoft JhengHei"/>
        <family val="0"/>
        <charset val="1"/>
      </rPr>
      <t xml:space="preserve">%</t>
    </r>
  </si>
  <si>
    <t xml:space="preserve">cumulative_revenue</t>
  </si>
  <si>
    <t xml:space="preserve">累計營收</t>
  </si>
  <si>
    <t xml:space="preserve">cumulative_yoy</t>
  </si>
  <si>
    <r>
      <rPr>
        <sz val="10"/>
        <rFont val="Noto Sans CJK SC"/>
        <family val="2"/>
        <charset val="1"/>
      </rPr>
      <t xml:space="preserve">累計年增率 </t>
    </r>
    <r>
      <rPr>
        <sz val="10"/>
        <rFont val="Microsoft JhengHei"/>
        <family val="0"/>
        <charset val="1"/>
      </rPr>
      <t xml:space="preserve">%</t>
    </r>
  </si>
  <si>
    <r>
      <rPr>
        <b val="true"/>
        <sz val="12"/>
        <color rgb="FFFFFFFF"/>
        <rFont val="Microsoft JhengHei"/>
        <family val="0"/>
        <charset val="1"/>
      </rPr>
      <t xml:space="preserve">T08 quarterly_financial </t>
    </r>
    <r>
      <rPr>
        <b val="true"/>
        <sz val="12"/>
        <color rgb="FFFFFFFF"/>
        <rFont val="Noto Sans CJK SC"/>
        <family val="2"/>
        <charset val="1"/>
      </rPr>
      <t xml:space="preserve">季報財務</t>
    </r>
  </si>
  <si>
    <t xml:space="preserve">quarter</t>
  </si>
  <si>
    <r>
      <rPr>
        <sz val="10"/>
        <rFont val="Noto Sans CJK SC"/>
        <family val="2"/>
        <charset val="1"/>
      </rPr>
      <t xml:space="preserve">季度，例：</t>
    </r>
    <r>
      <rPr>
        <sz val="10"/>
        <rFont val="Microsoft JhengHei"/>
        <family val="0"/>
        <charset val="1"/>
      </rPr>
      <t xml:space="preserve">2026Q1</t>
    </r>
  </si>
  <si>
    <t xml:space="preserve">營收</t>
  </si>
  <si>
    <t xml:space="preserve">gross_profit</t>
  </si>
  <si>
    <t xml:space="preserve">毛利</t>
  </si>
  <si>
    <t xml:space="preserve">op_income</t>
  </si>
  <si>
    <t xml:space="preserve">營業利益</t>
  </si>
  <si>
    <t xml:space="preserve">net_income</t>
  </si>
  <si>
    <t xml:space="preserve">稅後淨利</t>
  </si>
  <si>
    <t xml:space="preserve">eps</t>
  </si>
  <si>
    <t xml:space="preserve">每股盈餘</t>
  </si>
  <si>
    <t xml:space="preserve">roe</t>
  </si>
  <si>
    <t xml:space="preserve">ROE %</t>
  </si>
  <si>
    <t xml:space="preserve">roa</t>
  </si>
  <si>
    <t xml:space="preserve">ROA %</t>
  </si>
  <si>
    <t xml:space="preserve">debt_ratio</t>
  </si>
  <si>
    <r>
      <rPr>
        <sz val="10"/>
        <rFont val="Noto Sans CJK SC"/>
        <family val="2"/>
        <charset val="1"/>
      </rPr>
      <t xml:space="preserve">負債比 </t>
    </r>
    <r>
      <rPr>
        <sz val="10"/>
        <rFont val="Microsoft JhengHei"/>
        <family val="0"/>
        <charset val="1"/>
      </rPr>
      <t xml:space="preserve">%</t>
    </r>
  </si>
  <si>
    <r>
      <rPr>
        <b val="true"/>
        <sz val="12"/>
        <color rgb="FFFFFFFF"/>
        <rFont val="Microsoft JhengHei"/>
        <family val="0"/>
        <charset val="1"/>
      </rPr>
      <t xml:space="preserve">T09 futures_daily </t>
    </r>
    <r>
      <rPr>
        <b val="true"/>
        <sz val="12"/>
        <color rgb="FFFFFFFF"/>
        <rFont val="Noto Sans CJK SC"/>
        <family val="2"/>
        <charset val="1"/>
      </rPr>
      <t xml:space="preserve">台指期每日交易</t>
    </r>
  </si>
  <si>
    <t xml:space="preserve">contract</t>
  </si>
  <si>
    <r>
      <rPr>
        <sz val="10"/>
        <rFont val="Noto Sans CJK SC"/>
        <family val="2"/>
        <charset val="1"/>
      </rPr>
      <t xml:space="preserve">合約月份，例：</t>
    </r>
    <r>
      <rPr>
        <sz val="10"/>
        <rFont val="Microsoft JhengHei"/>
        <family val="0"/>
        <charset val="1"/>
      </rPr>
      <t xml:space="preserve">TXFF6</t>
    </r>
  </si>
  <si>
    <t xml:space="preserve">開盤</t>
  </si>
  <si>
    <t xml:space="preserve">最高</t>
  </si>
  <si>
    <t xml:space="preserve">最低</t>
  </si>
  <si>
    <t xml:space="preserve">收盤</t>
  </si>
  <si>
    <t xml:space="preserve">成交口數</t>
  </si>
  <si>
    <t xml:space="preserve">open_interest</t>
  </si>
  <si>
    <t xml:space="preserve">未平倉</t>
  </si>
  <si>
    <t xml:space="preserve">basis</t>
  </si>
  <si>
    <t xml:space="preserve">與現貨基差</t>
  </si>
  <si>
    <r>
      <rPr>
        <b val="true"/>
        <sz val="12"/>
        <color rgb="FFFFFFFF"/>
        <rFont val="Microsoft JhengHei"/>
        <family val="0"/>
        <charset val="1"/>
      </rPr>
      <t xml:space="preserve">T10 futures_oi </t>
    </r>
    <r>
      <rPr>
        <b val="true"/>
        <sz val="12"/>
        <color rgb="FFFFFFFF"/>
        <rFont val="Noto Sans CJK SC"/>
        <family val="2"/>
        <charset val="1"/>
      </rPr>
      <t xml:space="preserve">三大法人期貨部位</t>
    </r>
  </si>
  <si>
    <t xml:space="preserve">category</t>
  </si>
  <si>
    <r>
      <rPr>
        <sz val="10"/>
        <rFont val="Noto Sans CJK SC"/>
        <family val="2"/>
        <charset val="1"/>
      </rPr>
      <t xml:space="preserve">外資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投信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自營商</t>
    </r>
  </si>
  <si>
    <t xml:space="preserve">long_oi</t>
  </si>
  <si>
    <t xml:space="preserve">多方未平倉口數</t>
  </si>
  <si>
    <t xml:space="preserve">short_oi</t>
  </si>
  <si>
    <t xml:space="preserve">空方未平倉口數</t>
  </si>
  <si>
    <t xml:space="preserve">net_oi</t>
  </si>
  <si>
    <r>
      <rPr>
        <sz val="10"/>
        <rFont val="Noto Sans CJK SC"/>
        <family val="2"/>
        <charset val="1"/>
      </rPr>
      <t xml:space="preserve">淨部位（多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  <charset val="1"/>
      </rPr>
      <t xml:space="preserve">空）</t>
    </r>
  </si>
  <si>
    <t xml:space="preserve">top10_long</t>
  </si>
  <si>
    <t xml:space="preserve">十大交易人多方</t>
  </si>
  <si>
    <t xml:space="preserve">top10_short</t>
  </si>
  <si>
    <t xml:space="preserve">十大交易人空方</t>
  </si>
  <si>
    <t xml:space="preserve">T11 pc_ratio Put/Call Ratio</t>
  </si>
  <si>
    <t xml:space="preserve">pc_ratio_oi</t>
  </si>
  <si>
    <r>
      <rPr>
        <sz val="10"/>
        <rFont val="Microsoft JhengHei"/>
        <family val="0"/>
        <charset val="1"/>
      </rPr>
      <t xml:space="preserve">PC Ratio (</t>
    </r>
    <r>
      <rPr>
        <sz val="10"/>
        <rFont val="Noto Sans CJK SC"/>
        <family val="2"/>
        <charset val="1"/>
      </rPr>
      <t xml:space="preserve">未平倉</t>
    </r>
    <r>
      <rPr>
        <sz val="10"/>
        <rFont val="Microsoft JhengHei"/>
        <family val="0"/>
        <charset val="1"/>
      </rPr>
      <t xml:space="preserve">)</t>
    </r>
  </si>
  <si>
    <t xml:space="preserve">pc_ratio_volume</t>
  </si>
  <si>
    <r>
      <rPr>
        <sz val="10"/>
        <rFont val="Microsoft JhengHei"/>
        <family val="0"/>
        <charset val="1"/>
      </rPr>
      <t xml:space="preserve">PC Ratio (</t>
    </r>
    <r>
      <rPr>
        <sz val="10"/>
        <rFont val="Noto Sans CJK SC"/>
        <family val="2"/>
        <charset val="1"/>
      </rPr>
      <t xml:space="preserve">成交量</t>
    </r>
    <r>
      <rPr>
        <sz val="10"/>
        <rFont val="Microsoft JhengHei"/>
        <family val="0"/>
        <charset val="1"/>
      </rPr>
      <t xml:space="preserve">)</t>
    </r>
  </si>
  <si>
    <t xml:space="preserve">put_oi</t>
  </si>
  <si>
    <r>
      <rPr>
        <sz val="10"/>
        <rFont val="Microsoft JhengHei"/>
        <family val="0"/>
        <charset val="1"/>
      </rPr>
      <t xml:space="preserve">Put </t>
    </r>
    <r>
      <rPr>
        <sz val="10"/>
        <rFont val="Noto Sans CJK SC"/>
        <family val="2"/>
        <charset val="1"/>
      </rPr>
      <t xml:space="preserve">未平倉</t>
    </r>
  </si>
  <si>
    <t xml:space="preserve">call_oi</t>
  </si>
  <si>
    <r>
      <rPr>
        <sz val="10"/>
        <rFont val="Microsoft JhengHei"/>
        <family val="0"/>
        <charset val="1"/>
      </rPr>
      <t xml:space="preserve">Call </t>
    </r>
    <r>
      <rPr>
        <sz val="10"/>
        <rFont val="Noto Sans CJK SC"/>
        <family val="2"/>
        <charset val="1"/>
      </rPr>
      <t xml:space="preserve">未平倉</t>
    </r>
  </si>
  <si>
    <r>
      <rPr>
        <b val="true"/>
        <sz val="12"/>
        <color rgb="FFFFFFFF"/>
        <rFont val="Microsoft JhengHei"/>
        <family val="0"/>
        <charset val="1"/>
      </rPr>
      <t xml:space="preserve">T12 strategies </t>
    </r>
    <r>
      <rPr>
        <b val="true"/>
        <sz val="12"/>
        <color rgb="FFFFFFFF"/>
        <rFont val="Noto Sans CJK SC"/>
        <family val="2"/>
        <charset val="1"/>
      </rPr>
      <t xml:space="preserve">策略定義</t>
    </r>
  </si>
  <si>
    <t xml:space="preserve">strategy_id</t>
  </si>
  <si>
    <t xml:space="preserve">PK</t>
  </si>
  <si>
    <r>
      <rPr>
        <sz val="10"/>
        <rFont val="Noto Sans CJK SC"/>
        <family val="2"/>
        <charset val="1"/>
      </rPr>
      <t xml:space="preserve">策略編號 </t>
    </r>
    <r>
      <rPr>
        <sz val="10"/>
        <rFont val="Microsoft JhengHei"/>
        <family val="0"/>
        <charset val="1"/>
      </rPr>
      <t xml:space="preserve">1-46</t>
    </r>
  </si>
  <si>
    <t xml:space="preserve">strategy_name</t>
  </si>
  <si>
    <t xml:space="preserve">策略名稱</t>
  </si>
  <si>
    <t xml:space="preserve">condition_desc</t>
  </si>
  <si>
    <t xml:space="preserve">選股條件（人類可讀）</t>
  </si>
  <si>
    <t xml:space="preserve">condition_expr</t>
  </si>
  <si>
    <t xml:space="preserve">條件運算式（可選，用於動態解析）</t>
  </si>
  <si>
    <t xml:space="preserve">logic</t>
  </si>
  <si>
    <t xml:space="preserve">邏輯依據說明</t>
  </si>
  <si>
    <t xml:space="preserve">market_condition</t>
  </si>
  <si>
    <t xml:space="preserve">適用市況</t>
  </si>
  <si>
    <t xml:space="preserve">holding_period</t>
  </si>
  <si>
    <t xml:space="preserve">持有週期</t>
  </si>
  <si>
    <t xml:space="preserve">risk_level</t>
  </si>
  <si>
    <t xml:space="preserve">風險等級</t>
  </si>
  <si>
    <t xml:space="preserve">priority</t>
  </si>
  <si>
    <r>
      <rPr>
        <sz val="10"/>
        <rFont val="Noto Sans CJK SC"/>
        <family val="2"/>
        <charset val="1"/>
      </rPr>
      <t xml:space="preserve">開發優先度 </t>
    </r>
    <r>
      <rPr>
        <sz val="10"/>
        <rFont val="Microsoft JhengHei"/>
        <family val="0"/>
        <charset val="1"/>
      </rPr>
      <t xml:space="preserve">P0/P1/P2/P3</t>
    </r>
  </si>
  <si>
    <t xml:space="preserve">is_enabled</t>
  </si>
  <si>
    <r>
      <rPr>
        <sz val="10"/>
        <rFont val="Noto Sans CJK SC"/>
        <family val="2"/>
        <charset val="1"/>
      </rPr>
      <t xml:space="preserve">是否啟用，</t>
    </r>
    <r>
      <rPr>
        <sz val="10"/>
        <rFont val="Microsoft JhengHei"/>
        <family val="0"/>
        <charset val="1"/>
      </rPr>
      <t xml:space="preserve">0/1</t>
    </r>
  </si>
  <si>
    <r>
      <rPr>
        <b val="true"/>
        <sz val="12"/>
        <color rgb="FFFFFFFF"/>
        <rFont val="Microsoft JhengHei"/>
        <family val="0"/>
        <charset val="1"/>
      </rPr>
      <t xml:space="preserve">T13 strategy_params </t>
    </r>
    <r>
      <rPr>
        <b val="true"/>
        <sz val="12"/>
        <color rgb="FFFFFFFF"/>
        <rFont val="Noto Sans CJK SC"/>
        <family val="2"/>
        <charset val="1"/>
      </rPr>
      <t xml:space="preserve">策略參數</t>
    </r>
  </si>
  <si>
    <t xml:space="preserve">param_key</t>
  </si>
  <si>
    <r>
      <rPr>
        <sz val="10"/>
        <rFont val="Noto Sans CJK SC"/>
        <family val="2"/>
        <charset val="1"/>
      </rPr>
      <t xml:space="preserve">參數名，例：</t>
    </r>
    <r>
      <rPr>
        <sz val="10"/>
        <rFont val="Microsoft JhengHei"/>
        <family val="0"/>
        <charset val="1"/>
      </rPr>
      <t xml:space="preserve">ma_short_period</t>
    </r>
  </si>
  <si>
    <t xml:space="preserve">param_value</t>
  </si>
  <si>
    <r>
      <rPr>
        <sz val="10"/>
        <rFont val="Noto Sans CJK SC"/>
        <family val="2"/>
        <charset val="1"/>
      </rPr>
      <t xml:space="preserve">參數值，例：</t>
    </r>
    <r>
      <rPr>
        <sz val="10"/>
        <rFont val="Microsoft JhengHei"/>
        <family val="0"/>
        <charset val="1"/>
      </rPr>
      <t xml:space="preserve">5</t>
    </r>
  </si>
  <si>
    <t xml:space="preserve">param_type</t>
  </si>
  <si>
    <r>
      <rPr>
        <sz val="10"/>
        <rFont val="Noto Sans CJK SC"/>
        <family val="2"/>
        <charset val="1"/>
      </rPr>
      <t xml:space="preserve">資料型別 </t>
    </r>
    <r>
      <rPr>
        <sz val="10"/>
        <rFont val="Microsoft JhengHei"/>
        <family val="0"/>
        <charset val="1"/>
      </rPr>
      <t xml:space="preserve">int/float/string</t>
    </r>
  </si>
  <si>
    <r>
      <rPr>
        <sz val="10"/>
        <rFont val="Noto Sans CJK SC"/>
        <family val="2"/>
        <charset val="1"/>
      </rPr>
      <t xml:space="preserve">分類：技術面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籌碼面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風控</t>
    </r>
  </si>
  <si>
    <t xml:space="preserve">description</t>
  </si>
  <si>
    <t xml:space="preserve">參數說明</t>
  </si>
  <si>
    <t xml:space="preserve">min_value</t>
  </si>
  <si>
    <t xml:space="preserve">建議範圍下限</t>
  </si>
  <si>
    <t xml:space="preserve">max_value</t>
  </si>
  <si>
    <t xml:space="preserve">建議範圍上限</t>
  </si>
  <si>
    <r>
      <rPr>
        <b val="true"/>
        <sz val="12"/>
        <color rgb="FFFFFFFF"/>
        <rFont val="Microsoft JhengHei"/>
        <family val="0"/>
        <charset val="1"/>
      </rPr>
      <t xml:space="preserve">T14 watchlist </t>
    </r>
    <r>
      <rPr>
        <b val="true"/>
        <sz val="12"/>
        <color rgb="FFFFFFFF"/>
        <rFont val="Noto Sans CJK SC"/>
        <family val="2"/>
        <charset val="1"/>
      </rPr>
      <t xml:space="preserve">觀察清單</t>
    </r>
  </si>
  <si>
    <t xml:space="preserve">added_date</t>
  </si>
  <si>
    <t xml:space="preserve">加入日期</t>
  </si>
  <si>
    <t xml:space="preserve">triggered_strategies</t>
  </si>
  <si>
    <t xml:space="preserve">觸發策略編號（逗號分隔）</t>
  </si>
  <si>
    <t xml:space="preserve">strategy_score</t>
  </si>
  <si>
    <t xml:space="preserve">命中策略數</t>
  </si>
  <si>
    <t xml:space="preserve">suggested_entry</t>
  </si>
  <si>
    <t xml:space="preserve">建議進場價</t>
  </si>
  <si>
    <t xml:space="preserve">suggested_stop</t>
  </si>
  <si>
    <t xml:space="preserve">建議停損價</t>
  </si>
  <si>
    <t xml:space="preserve">target_price</t>
  </si>
  <si>
    <t xml:space="preserve">目標價</t>
  </si>
  <si>
    <t xml:space="preserve">status</t>
  </si>
  <si>
    <r>
      <rPr>
        <sz val="10"/>
        <rFont val="Noto Sans CJK SC"/>
        <family val="2"/>
        <charset val="1"/>
      </rPr>
      <t xml:space="preserve">觀察中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已進場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已出場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已淘汰</t>
    </r>
  </si>
  <si>
    <t xml:space="preserve">note</t>
  </si>
  <si>
    <t xml:space="preserve">備註</t>
  </si>
  <si>
    <r>
      <rPr>
        <b val="true"/>
        <sz val="12"/>
        <color rgb="FFFFFFFF"/>
        <rFont val="Microsoft JhengHei"/>
        <family val="0"/>
        <charset val="1"/>
      </rPr>
      <t xml:space="preserve">T15 signal_log </t>
    </r>
    <r>
      <rPr>
        <b val="true"/>
        <sz val="12"/>
        <color rgb="FFFFFFFF"/>
        <rFont val="Noto Sans CJK SC"/>
        <family val="2"/>
        <charset val="1"/>
      </rPr>
      <t xml:space="preserve">訊號歷史</t>
    </r>
  </si>
  <si>
    <t xml:space="preserve">signal_time</t>
  </si>
  <si>
    <t xml:space="preserve">訊號時間</t>
  </si>
  <si>
    <t xml:space="preserve">signal_type</t>
  </si>
  <si>
    <r>
      <rPr>
        <sz val="10"/>
        <rFont val="Noto Sans CJK SC"/>
        <family val="2"/>
        <charset val="1"/>
      </rPr>
      <t xml:space="preserve">進場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停損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停利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風險警示</t>
    </r>
  </si>
  <si>
    <t xml:space="preserve">FK</t>
  </si>
  <si>
    <t xml:space="preserve">來源策略</t>
  </si>
  <si>
    <t xml:space="preserve">current_price</t>
  </si>
  <si>
    <t xml:space="preserve">訊號當下價</t>
  </si>
  <si>
    <t xml:space="preserve">trigger_reason</t>
  </si>
  <si>
    <t xml:space="preserve">觸發原因描述</t>
  </si>
  <si>
    <t xml:space="preserve">is_notified</t>
  </si>
  <si>
    <r>
      <rPr>
        <sz val="10"/>
        <rFont val="Noto Sans CJK SC"/>
        <family val="2"/>
        <charset val="1"/>
      </rPr>
      <t xml:space="preserve">是否已通知，</t>
    </r>
    <r>
      <rPr>
        <sz val="10"/>
        <rFont val="Microsoft JhengHei"/>
        <family val="0"/>
        <charset val="1"/>
      </rPr>
      <t xml:space="preserve">0/1</t>
    </r>
  </si>
  <si>
    <r>
      <rPr>
        <b val="true"/>
        <sz val="12"/>
        <color rgb="FFFFFFFF"/>
        <rFont val="Microsoft JhengHei"/>
        <family val="0"/>
        <charset val="1"/>
      </rPr>
      <t xml:space="preserve">T16 positions </t>
    </r>
    <r>
      <rPr>
        <b val="true"/>
        <sz val="12"/>
        <color rgb="FFFFFFFF"/>
        <rFont val="Noto Sans CJK SC"/>
        <family val="2"/>
        <charset val="1"/>
      </rPr>
      <t xml:space="preserve">目前部位</t>
    </r>
  </si>
  <si>
    <t xml:space="preserve">entry_date</t>
  </si>
  <si>
    <t xml:space="preserve">進場日</t>
  </si>
  <si>
    <t xml:space="preserve">entry_price</t>
  </si>
  <si>
    <t xml:space="preserve">進場價</t>
  </si>
  <si>
    <t xml:space="preserve">持有張數</t>
  </si>
  <si>
    <t xml:space="preserve">stop_loss</t>
  </si>
  <si>
    <t xml:space="preserve">停損價</t>
  </si>
  <si>
    <t xml:space="preserve">現價（盤中更新）</t>
  </si>
  <si>
    <t xml:space="preserve">unrealized_pnl</t>
  </si>
  <si>
    <t xml:space="preserve">未實現損益</t>
  </si>
  <si>
    <t xml:space="preserve">進場策略</t>
  </si>
  <si>
    <r>
      <rPr>
        <b val="true"/>
        <sz val="12"/>
        <color rgb="FFFFFFFF"/>
        <rFont val="Microsoft JhengHei"/>
        <family val="0"/>
        <charset val="1"/>
      </rPr>
      <t xml:space="preserve">T17 trade_journal </t>
    </r>
    <r>
      <rPr>
        <b val="true"/>
        <sz val="12"/>
        <color rgb="FFFFFFFF"/>
        <rFont val="Noto Sans CJK SC"/>
        <family val="2"/>
        <charset val="1"/>
      </rPr>
      <t xml:space="preserve">交易日誌</t>
    </r>
  </si>
  <si>
    <t xml:space="preserve">exit_date</t>
  </si>
  <si>
    <t xml:space="preserve">出場日</t>
  </si>
  <si>
    <t xml:space="preserve">exit_price</t>
  </si>
  <si>
    <t xml:space="preserve">出場價</t>
  </si>
  <si>
    <t xml:space="preserve">交易張數</t>
  </si>
  <si>
    <t xml:space="preserve">realized_pnl</t>
  </si>
  <si>
    <t xml:space="preserve">實現損益</t>
  </si>
  <si>
    <t xml:space="preserve">return_pct</t>
  </si>
  <si>
    <r>
      <rPr>
        <sz val="10"/>
        <rFont val="Noto Sans CJK SC"/>
        <family val="2"/>
        <charset val="1"/>
      </rPr>
      <t xml:space="preserve">報酬率 </t>
    </r>
    <r>
      <rPr>
        <sz val="10"/>
        <rFont val="Microsoft JhengHei"/>
        <family val="0"/>
        <charset val="1"/>
      </rPr>
      <t xml:space="preserve">%</t>
    </r>
  </si>
  <si>
    <t xml:space="preserve">holding_days</t>
  </si>
  <si>
    <t xml:space="preserve">持有天數</t>
  </si>
  <si>
    <t xml:space="preserve">使用策略</t>
  </si>
  <si>
    <t xml:space="preserve">exit_reason</t>
  </si>
  <si>
    <r>
      <rPr>
        <sz val="10"/>
        <rFont val="Noto Sans CJK SC"/>
        <family val="2"/>
        <charset val="1"/>
      </rPr>
      <t xml:space="preserve">出場原因（停損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停利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時間停損）</t>
    </r>
  </si>
  <si>
    <t xml:space="preserve">notes</t>
  </si>
  <si>
    <t xml:space="preserve">心得筆記</t>
  </si>
  <si>
    <r>
      <rPr>
        <b val="true"/>
        <sz val="12"/>
        <color rgb="FFFFFFFF"/>
        <rFont val="Microsoft JhengHei"/>
        <family val="0"/>
        <charset val="1"/>
      </rPr>
      <t xml:space="preserve">T18 risk_events </t>
    </r>
    <r>
      <rPr>
        <b val="true"/>
        <sz val="12"/>
        <color rgb="FFFFFFFF"/>
        <rFont val="Noto Sans CJK SC"/>
        <family val="2"/>
        <charset val="1"/>
      </rPr>
      <t xml:space="preserve">風控事件</t>
    </r>
  </si>
  <si>
    <t xml:space="preserve">event_time</t>
  </si>
  <si>
    <t xml:space="preserve">事件時間</t>
  </si>
  <si>
    <t xml:space="preserve">rule_id</t>
  </si>
  <si>
    <r>
      <rPr>
        <sz val="10"/>
        <rFont val="Noto Sans CJK SC"/>
        <family val="2"/>
        <charset val="1"/>
      </rPr>
      <t xml:space="preserve">觸發規則 </t>
    </r>
    <r>
      <rPr>
        <sz val="10"/>
        <rFont val="Microsoft JhengHei"/>
        <family val="0"/>
        <charset val="1"/>
      </rPr>
      <t xml:space="preserve">R01-R10</t>
    </r>
  </si>
  <si>
    <t xml:space="preserve">rule_name</t>
  </si>
  <si>
    <t xml:space="preserve">規則名稱</t>
  </si>
  <si>
    <t xml:space="preserve">相關個股（若適用）</t>
  </si>
  <si>
    <t xml:space="preserve">action</t>
  </si>
  <si>
    <r>
      <rPr>
        <sz val="10"/>
        <rFont val="Noto Sans CJK SC"/>
        <family val="2"/>
        <charset val="1"/>
      </rPr>
      <t xml:space="preserve">採取動作：拒絕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警示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鎖單</t>
    </r>
  </si>
  <si>
    <t xml:space="preserve">details</t>
  </si>
  <si>
    <t xml:space="preserve">詳細描述</t>
  </si>
  <si>
    <r>
      <rPr>
        <b val="true"/>
        <sz val="12"/>
        <color rgb="FFFFFFFF"/>
        <rFont val="Microsoft JhengHei"/>
        <family val="0"/>
        <charset val="1"/>
      </rPr>
      <t xml:space="preserve">T19 system_config </t>
    </r>
    <r>
      <rPr>
        <b val="true"/>
        <sz val="12"/>
        <color rgb="FFFFFFFF"/>
        <rFont val="Noto Sans CJK SC"/>
        <family val="2"/>
        <charset val="1"/>
      </rPr>
      <t xml:space="preserve">系統設定</t>
    </r>
  </si>
  <si>
    <t xml:space="preserve">config_key</t>
  </si>
  <si>
    <t xml:space="preserve">設定鍵</t>
  </si>
  <si>
    <t xml:space="preserve">config_value</t>
  </si>
  <si>
    <t xml:space="preserve">設定值</t>
  </si>
  <si>
    <r>
      <rPr>
        <b val="true"/>
        <sz val="12"/>
        <color rgb="FFFFFFFF"/>
        <rFont val="Microsoft JhengHei"/>
        <family val="0"/>
        <charset val="1"/>
      </rPr>
      <t xml:space="preserve">T20 fetch_log </t>
    </r>
    <r>
      <rPr>
        <b val="true"/>
        <sz val="12"/>
        <color rgb="FFFFFFFF"/>
        <rFont val="Noto Sans CJK SC"/>
        <family val="2"/>
        <charset val="1"/>
      </rPr>
      <t xml:space="preserve">抓取日誌</t>
    </r>
  </si>
  <si>
    <t xml:space="preserve">fetch_time</t>
  </si>
  <si>
    <t xml:space="preserve">執行時間</t>
  </si>
  <si>
    <t xml:space="preserve">source</t>
  </si>
  <si>
    <r>
      <rPr>
        <sz val="10"/>
        <rFont val="Noto Sans CJK SC"/>
        <family val="2"/>
        <charset val="1"/>
      </rPr>
      <t xml:space="preserve">資料源，例：</t>
    </r>
    <r>
      <rPr>
        <sz val="10"/>
        <rFont val="Microsoft JhengHei"/>
        <family val="0"/>
        <charset val="1"/>
      </rPr>
      <t xml:space="preserve">TWSE_STOCK_DAY</t>
    </r>
  </si>
  <si>
    <r>
      <rPr>
        <sz val="10"/>
        <rFont val="Noto Sans CJK SC"/>
        <family val="2"/>
        <charset val="1"/>
      </rPr>
      <t xml:space="preserve">成功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失敗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部分成功</t>
    </r>
  </si>
  <si>
    <t xml:space="preserve">record_count</t>
  </si>
  <si>
    <t xml:space="preserve">抓取筆數</t>
  </si>
  <si>
    <t xml:space="preserve">duration_ms</t>
  </si>
  <si>
    <t xml:space="preserve">耗時（毫秒）</t>
  </si>
  <si>
    <t xml:space="preserve">error_message</t>
  </si>
  <si>
    <t xml:space="preserve">錯誤訊息（若失敗）</t>
  </si>
  <si>
    <r>
      <rPr>
        <b val="true"/>
        <sz val="16"/>
        <color rgb="FF1F3864"/>
        <rFont val="Microsoft JhengHei"/>
        <family val="0"/>
        <charset val="1"/>
      </rPr>
      <t xml:space="preserve">CREATE TABLE SQL </t>
    </r>
    <r>
      <rPr>
        <b val="true"/>
        <sz val="16"/>
        <color rgb="FF1F3864"/>
        <rFont val="Noto Sans CJK SC"/>
        <family val="2"/>
        <charset val="1"/>
      </rPr>
      <t xml:space="preserve">腳本（</t>
    </r>
    <r>
      <rPr>
        <b val="true"/>
        <sz val="16"/>
        <color rgb="FF1F3864"/>
        <rFont val="Microsoft JhengHei"/>
        <family val="0"/>
        <charset val="1"/>
      </rPr>
      <t xml:space="preserve">SQLite</t>
    </r>
    <r>
      <rPr>
        <b val="true"/>
        <sz val="16"/>
        <color rgb="FF1F3864"/>
        <rFont val="Noto Sans CJK SC"/>
        <family val="2"/>
        <charset val="1"/>
      </rPr>
      <t xml:space="preserve">）</t>
    </r>
  </si>
  <si>
    <r>
      <rPr>
        <i val="true"/>
        <sz val="9"/>
        <color rgb="FF595959"/>
        <rFont val="Noto Sans CJK SC"/>
        <family val="2"/>
        <charset val="1"/>
      </rPr>
      <t xml:space="preserve">可直接複製到 </t>
    </r>
    <r>
      <rPr>
        <i val="true"/>
        <sz val="9"/>
        <color rgb="FF595959"/>
        <rFont val="Microsoft JhengHei"/>
        <family val="0"/>
        <charset val="1"/>
      </rPr>
      <t xml:space="preserve">SQLite / DB Browser for SQLite </t>
    </r>
    <r>
      <rPr>
        <i val="true"/>
        <sz val="9"/>
        <color rgb="FF595959"/>
        <rFont val="Noto Sans CJK SC"/>
        <family val="2"/>
        <charset val="1"/>
      </rPr>
      <t xml:space="preserve">執行。註解為欄位說明。</t>
    </r>
  </si>
  <si>
    <t xml:space="preserve">T01 stocks</t>
  </si>
  <si>
    <r>
      <rPr>
        <sz val="9"/>
        <color rgb="FF1F3864"/>
        <rFont val="Consolas"/>
        <family val="0"/>
        <charset val="1"/>
      </rPr>
      <t xml:space="preserve">CREATE TABLE stocks (
    stock_id      TEXT PRIMARY KEY,
    stock_name    TEXT NOT NULL,
    market_type   TEXT NOT NULL,          -- </t>
    </r>
    <r>
      <rPr>
        <sz val="9"/>
        <color rgb="FF1F3864"/>
        <rFont val="Noto Sans CJK SC"/>
        <family val="2"/>
        <charset val="1"/>
      </rPr>
      <t xml:space="preserve">上市</t>
    </r>
    <r>
      <rPr>
        <sz val="9"/>
        <color rgb="FF1F3864"/>
        <rFont val="Consolas"/>
        <family val="0"/>
        <charset val="1"/>
      </rPr>
      <t xml:space="preserve">/</t>
    </r>
    <r>
      <rPr>
        <sz val="9"/>
        <color rgb="FF1F3864"/>
        <rFont val="Noto Sans CJK SC"/>
        <family val="2"/>
        <charset val="1"/>
      </rPr>
      <t xml:space="preserve">上櫃
    </t>
    </r>
    <r>
      <rPr>
        <sz val="9"/>
        <color rgb="FF1F3864"/>
        <rFont val="Consolas"/>
        <family val="0"/>
        <charset val="1"/>
      </rPr>
      <t xml:space="preserve">industry      TEXT,
    listing_date  DATE,
    is_active     INTEGER NOT NULL DEFAULT 1,
    is_notice     INTEGER NOT NULL DEFAULT 0,
    updated_at    TIMESTAMP DEFAULT CURRENT_TIMESTAMP
);
CREATE INDEX idx_stocks_market ON stocks(market_type);
CREATE INDEX idx_stocks_industry ON stocks(industry);</t>
    </r>
  </si>
  <si>
    <t xml:space="preserve">T02 daily_price</t>
  </si>
  <si>
    <r>
      <rPr>
        <sz val="9"/>
        <color rgb="FF1F3864"/>
        <rFont val="Consolas"/>
        <family val="0"/>
        <charset val="1"/>
      </rPr>
      <t xml:space="preserve">CREATE TABLE daily_price (
    id          INTEGER PRIMARY KEY AUTOINCREMENT,
    stock_id    TEXT NOT NULL,
    trade_date  DATE NOT NULL,
    open        REAL NOT NULL,
    high        REAL NOT NULL,
    low         REAL NOT NULL,
    close       REAL NOT NULL,
    volume      INTEGER NOT NULL,          -- </t>
    </r>
    <r>
      <rPr>
        <sz val="9"/>
        <color rgb="FF1F3864"/>
        <rFont val="Noto Sans CJK SC"/>
        <family val="2"/>
        <charset val="1"/>
      </rPr>
      <t xml:space="preserve">張
    </t>
    </r>
    <r>
      <rPr>
        <sz val="9"/>
        <color rgb="FF1F3864"/>
        <rFont val="Consolas"/>
        <family val="0"/>
        <charset val="1"/>
      </rPr>
      <t xml:space="preserve">amount      INTEGER NOT NULL,          -- </t>
    </r>
    <r>
      <rPr>
        <sz val="9"/>
        <color rgb="FF1F3864"/>
        <rFont val="Noto Sans CJK SC"/>
        <family val="2"/>
        <charset val="1"/>
      </rPr>
      <t xml:space="preserve">元
    </t>
    </r>
    <r>
      <rPr>
        <sz val="9"/>
        <color rgb="FF1F3864"/>
        <rFont val="Consolas"/>
        <family val="0"/>
        <charset val="1"/>
      </rPr>
      <t xml:space="preserve">adj_close   REAL,                       -- </t>
    </r>
    <r>
      <rPr>
        <sz val="9"/>
        <color rgb="FF1F3864"/>
        <rFont val="Noto Sans CJK SC"/>
        <family val="2"/>
        <charset val="1"/>
      </rPr>
      <t xml:space="preserve">還原權值
    </t>
    </r>
    <r>
      <rPr>
        <sz val="9"/>
        <color rgb="FF1F3864"/>
        <rFont val="Consolas"/>
        <family val="0"/>
        <charset val="1"/>
      </rPr>
      <t xml:space="preserve">FOREIGN KEY (stock_id) REFERENCES stocks(stock_id),
    UNIQUE(stock_id, trade_date)
);
CREATE INDEX idx_price_stock_date ON daily_price(stock_id, trade_date);
CREATE INDEX idx_price_date ON daily_price(trade_date);</t>
    </r>
  </si>
  <si>
    <t xml:space="preserve">T03 institutional_flow</t>
  </si>
  <si>
    <t xml:space="preserve">CREATE TABLE institutional_flow (
    id            INTEGER PRIMARY KEY AUTOINCREMENT,
    stock_id      TEXT NOT NULL,
    trade_date    DATE NOT NULL,
    foreign_buy   INTEGER DEFAULT 0,
    foreign_sell  INTEGER DEFAULT 0,
    foreign_net   INTEGER NOT NULL,
    trust_net     INTEGER NOT NULL,
    dealer_net    INTEGER NOT NULL,
    total_net     INTEGER NOT NULL,
    FOREIGN KEY (stock_id) REFERENCES stocks(stock_id),
    UNIQUE(stock_id, trade_date)
);
CREATE INDEX idx_inst_stock_date ON institutional_flow(stock_id, trade_date);</t>
  </si>
  <si>
    <t xml:space="preserve">T04 margin_balance</t>
  </si>
  <si>
    <r>
      <rPr>
        <sz val="9"/>
        <color rgb="FF1F3864"/>
        <rFont val="Consolas"/>
        <family val="0"/>
        <charset val="1"/>
      </rPr>
      <t xml:space="preserve">CREATE TABLE margin_balance (
    id              INTEGER PRIMARY KEY AUTOINCREMENT,
    stock_id        TEXT NOT NULL,
    trade_date      DATE NOT NULL,
    margin_balance  INTEGER NOT NULL,
    margin_change   INTEGER,
    short_balance   INTEGER NOT NULL,
    short_change    INTEGER,
    margin_ratio    REAL,                   -- </t>
    </r>
    <r>
      <rPr>
        <sz val="9"/>
        <color rgb="FF1F3864"/>
        <rFont val="Noto Sans CJK SC"/>
        <family val="2"/>
        <charset val="1"/>
      </rPr>
      <t xml:space="preserve">券資比
    </t>
    </r>
    <r>
      <rPr>
        <sz val="9"/>
        <color rgb="FF1F3864"/>
        <rFont val="Consolas"/>
        <family val="0"/>
        <charset val="1"/>
      </rPr>
      <t xml:space="preserve">FOREIGN KEY (stock_id) REFERENCES stocks(stock_id),
    UNIQUE(stock_id, trade_date)
);
CREATE INDEX idx_margin_stock_date ON margin_balance(stock_id, trade_date);</t>
    </r>
  </si>
  <si>
    <t xml:space="preserve">T05 shareholding_dist</t>
  </si>
  <si>
    <t xml:space="preserve">CREATE TABLE shareholding_dist (
    id                    INTEGER PRIMARY KEY AUTOINCREMENT,
    stock_id              TEXT NOT NULL,
    week_date             DATE NOT NULL,
    holders_400_shares    INTEGER,
    holders_1000_shares   INTEGER,
    pct_400_shares        REAL,
    pct_1000_shares       REAL,
    total_holders         INTEGER,
    FOREIGN KEY (stock_id) REFERENCES stocks(stock_id),
    UNIQUE(stock_id, week_date)
);</t>
  </si>
  <si>
    <t xml:space="preserve">T07 monthly_revenue</t>
  </si>
  <si>
    <t xml:space="preserve">CREATE TABLE monthly_revenue (
    id                    INTEGER PRIMARY KEY AUTOINCREMENT,
    stock_id              TEXT NOT NULL,
    revenue_month         TEXT NOT NULL,      -- 2026-04
    revenue               INTEGER NOT NULL,
    mom_change            REAL,
    yoy_change            REAL,
    cumulative_revenue    INTEGER,
    cumulative_yoy        REAL,
    FOREIGN KEY (stock_id) REFERENCES stocks(stock_id),
    UNIQUE(stock_id, revenue_month)
);</t>
  </si>
  <si>
    <t xml:space="preserve">T08 quarterly_financial</t>
  </si>
  <si>
    <t xml:space="preserve">CREATE TABLE quarterly_financial (
    id            INTEGER PRIMARY KEY AUTOINCREMENT,
    stock_id      TEXT NOT NULL,
    quarter       TEXT NOT NULL,              -- 2026Q1
    revenue       INTEGER,
    gross_profit  INTEGER,
    op_income     INTEGER,
    net_income    INTEGER,
    eps           REAL,
    roe           REAL,
    roa           REAL,
    debt_ratio    REAL,
    FOREIGN KEY (stock_id) REFERENCES stocks(stock_id),
    UNIQUE(stock_id, quarter)
);</t>
  </si>
  <si>
    <t xml:space="preserve">T09 futures_daily</t>
  </si>
  <si>
    <t xml:space="preserve">CREATE TABLE futures_daily (
    id              INTEGER PRIMARY KEY AUTOINCREMENT,
    trade_date      DATE NOT NULL,
    contract        TEXT NOT NULL,
    open            REAL NOT NULL,
    high            REAL NOT NULL,
    low             REAL NOT NULL,
    close           REAL NOT NULL,
    volume          INTEGER NOT NULL,
    open_interest   INTEGER NOT NULL,
    basis           REAL,
    UNIQUE(trade_date, contract)
);
CREATE INDEX idx_futures_date ON futures_daily(trade_date);</t>
  </si>
  <si>
    <t xml:space="preserve">T10 futures_oi</t>
  </si>
  <si>
    <r>
      <rPr>
        <sz val="9"/>
        <color rgb="FF1F3864"/>
        <rFont val="Consolas"/>
        <family val="0"/>
        <charset val="1"/>
      </rPr>
      <t xml:space="preserve">CREATE TABLE futures_oi (
    id            INTEGER PRIMARY KEY AUTOINCREMENT,
    trade_date    DATE NOT NULL,
    category      TEXT NOT NULL,              -- </t>
    </r>
    <r>
      <rPr>
        <sz val="9"/>
        <color rgb="FF1F3864"/>
        <rFont val="Noto Sans CJK SC"/>
        <family val="2"/>
        <charset val="1"/>
      </rPr>
      <t xml:space="preserve">外資</t>
    </r>
    <r>
      <rPr>
        <sz val="9"/>
        <color rgb="FF1F3864"/>
        <rFont val="Consolas"/>
        <family val="0"/>
        <charset val="1"/>
      </rPr>
      <t xml:space="preserve">/</t>
    </r>
    <r>
      <rPr>
        <sz val="9"/>
        <color rgb="FF1F3864"/>
        <rFont val="Noto Sans CJK SC"/>
        <family val="2"/>
        <charset val="1"/>
      </rPr>
      <t xml:space="preserve">投信</t>
    </r>
    <r>
      <rPr>
        <sz val="9"/>
        <color rgb="FF1F3864"/>
        <rFont val="Consolas"/>
        <family val="0"/>
        <charset val="1"/>
      </rPr>
      <t xml:space="preserve">/</t>
    </r>
    <r>
      <rPr>
        <sz val="9"/>
        <color rgb="FF1F3864"/>
        <rFont val="Noto Sans CJK SC"/>
        <family val="2"/>
        <charset val="1"/>
      </rPr>
      <t xml:space="preserve">自營商
    </t>
    </r>
    <r>
      <rPr>
        <sz val="9"/>
        <color rgb="FF1F3864"/>
        <rFont val="Consolas"/>
        <family val="0"/>
        <charset val="1"/>
      </rPr>
      <t xml:space="preserve">long_oi       INTEGER,
    short_oi      INTEGER,
    net_oi        INTEGER NOT NULL,
    top10_long    INTEGER,
    top10_short   INTEGER,
    UNIQUE(trade_date, category)
);</t>
    </r>
  </si>
  <si>
    <t xml:space="preserve">T11 pc_ratio</t>
  </si>
  <si>
    <t xml:space="preserve">CREATE TABLE pc_ratio (
    trade_date       DATE PRIMARY KEY,
    pc_ratio_oi      REAL NOT NULL,
    pc_ratio_volume  REAL NOT NULL,
    put_oi           INTEGER,
    call_oi          INTEGER
);</t>
  </si>
  <si>
    <t xml:space="preserve">T12 strategies</t>
  </si>
  <si>
    <r>
      <rPr>
        <sz val="9"/>
        <color rgb="FF1F3864"/>
        <rFont val="Consolas"/>
        <family val="0"/>
        <charset val="1"/>
      </rPr>
      <t xml:space="preserve">CREATE TABLE strategies (
    strategy_id        INTEGER PRIMARY KEY,
    strategy_name      TEXT NOT NULL,
    category           TEXT NOT NULL,
    condition_desc     TEXT NOT NULL,
    condition_expr     TEXT,                 -- </t>
    </r>
    <r>
      <rPr>
        <sz val="9"/>
        <color rgb="FF1F3864"/>
        <rFont val="Noto Sans CJK SC"/>
        <family val="2"/>
        <charset val="1"/>
      </rPr>
      <t xml:space="preserve">動態解析用（選）
    </t>
    </r>
    <r>
      <rPr>
        <sz val="9"/>
        <color rgb="FF1F3864"/>
        <rFont val="Consolas"/>
        <family val="0"/>
        <charset val="1"/>
      </rPr>
      <t xml:space="preserve">logic              TEXT,
    market_condition   TEXT,
    holding_period     TEXT,
    risk_level         TEXT,
    priority           TEXT,                 -- P0/P1/P2/P3
    is_enabled         INTEGER NOT NULL DEFAULT 1
);
CREATE INDEX idx_strat_cat ON strategies(category);</t>
    </r>
  </si>
  <si>
    <t xml:space="preserve">T13 strategy_params</t>
  </si>
  <si>
    <t xml:space="preserve">CREATE TABLE strategy_params (
    param_key      TEXT PRIMARY KEY,
    param_value    TEXT NOT NULL,
    param_type     TEXT NOT NULL,              -- int/float/string
    category       TEXT,
    description    TEXT,
    min_value      REAL,
    max_value      REAL
);</t>
  </si>
  <si>
    <t xml:space="preserve">T14 watchlist</t>
  </si>
  <si>
    <r>
      <rPr>
        <sz val="9"/>
        <color rgb="FF1F3864"/>
        <rFont val="Consolas"/>
        <family val="0"/>
        <charset val="1"/>
      </rPr>
      <t xml:space="preserve">CREATE TABLE watchlist (
    id                       INTEGER PRIMARY KEY AUTOINCREMENT,
    stock_id                 TEXT NOT NULL,
    added_date               DATE NOT NULL,
    triggered_strategies     TEXT NOT NULL,    -- "1,13,27"
    strategy_score           INTEGER,
    suggested_entry          REAL,
    suggested_stop           REAL,
    target_price             REAL,
    status                   TEXT NOT NULL,    -- </t>
    </r>
    <r>
      <rPr>
        <sz val="9"/>
        <color rgb="FF1F3864"/>
        <rFont val="Noto Sans CJK SC"/>
        <family val="2"/>
        <charset val="1"/>
      </rPr>
      <t xml:space="preserve">觀察中</t>
    </r>
    <r>
      <rPr>
        <sz val="9"/>
        <color rgb="FF1F3864"/>
        <rFont val="Consolas"/>
        <family val="0"/>
        <charset val="1"/>
      </rPr>
      <t xml:space="preserve">/</t>
    </r>
    <r>
      <rPr>
        <sz val="9"/>
        <color rgb="FF1F3864"/>
        <rFont val="Noto Sans CJK SC"/>
        <family val="2"/>
        <charset val="1"/>
      </rPr>
      <t xml:space="preserve">已進場</t>
    </r>
    <r>
      <rPr>
        <sz val="9"/>
        <color rgb="FF1F3864"/>
        <rFont val="Consolas"/>
        <family val="0"/>
        <charset val="1"/>
      </rPr>
      <t xml:space="preserve">/</t>
    </r>
    <r>
      <rPr>
        <sz val="9"/>
        <color rgb="FF1F3864"/>
        <rFont val="Noto Sans CJK SC"/>
        <family val="2"/>
        <charset val="1"/>
      </rPr>
      <t xml:space="preserve">已出場</t>
    </r>
    <r>
      <rPr>
        <sz val="9"/>
        <color rgb="FF1F3864"/>
        <rFont val="Consolas"/>
        <family val="0"/>
        <charset val="1"/>
      </rPr>
      <t xml:space="preserve">/</t>
    </r>
    <r>
      <rPr>
        <sz val="9"/>
        <color rgb="FF1F3864"/>
        <rFont val="Noto Sans CJK SC"/>
        <family val="2"/>
        <charset val="1"/>
      </rPr>
      <t xml:space="preserve">已淘汰
    </t>
    </r>
    <r>
      <rPr>
        <sz val="9"/>
        <color rgb="FF1F3864"/>
        <rFont val="Consolas"/>
        <family val="0"/>
        <charset val="1"/>
      </rPr>
      <t xml:space="preserve">note                     TEXT,
    FOREIGN KEY (stock_id) REFERENCES stocks(stock_id)
);
CREATE INDEX idx_watch_status ON watchlist(status);
CREATE INDEX idx_watch_date ON watchlist(added_date);</t>
    </r>
  </si>
  <si>
    <t xml:space="preserve">T15 signal_log</t>
  </si>
  <si>
    <r>
      <rPr>
        <sz val="9"/>
        <color rgb="FF1F3864"/>
        <rFont val="Consolas"/>
        <family val="0"/>
        <charset val="1"/>
      </rPr>
      <t xml:space="preserve">CREATE TABLE signal_log (
    id              INTEGER PRIMARY KEY AUTOINCREMENT,
    stock_id        TEXT NOT NULL,
    signal_time     TIMESTAMP NOT NULL,
    signal_type     TEXT NOT NULL,           -- </t>
    </r>
    <r>
      <rPr>
        <sz val="9"/>
        <color rgb="FF1F3864"/>
        <rFont val="Noto Sans CJK SC"/>
        <family val="2"/>
        <charset val="1"/>
      </rPr>
      <t xml:space="preserve">進場</t>
    </r>
    <r>
      <rPr>
        <sz val="9"/>
        <color rgb="FF1F3864"/>
        <rFont val="Consolas"/>
        <family val="0"/>
        <charset val="1"/>
      </rPr>
      <t xml:space="preserve">/</t>
    </r>
    <r>
      <rPr>
        <sz val="9"/>
        <color rgb="FF1F3864"/>
        <rFont val="Noto Sans CJK SC"/>
        <family val="2"/>
        <charset val="1"/>
      </rPr>
      <t xml:space="preserve">停損</t>
    </r>
    <r>
      <rPr>
        <sz val="9"/>
        <color rgb="FF1F3864"/>
        <rFont val="Consolas"/>
        <family val="0"/>
        <charset val="1"/>
      </rPr>
      <t xml:space="preserve">/</t>
    </r>
    <r>
      <rPr>
        <sz val="9"/>
        <color rgb="FF1F3864"/>
        <rFont val="Noto Sans CJK SC"/>
        <family val="2"/>
        <charset val="1"/>
      </rPr>
      <t xml:space="preserve">停利</t>
    </r>
    <r>
      <rPr>
        <sz val="9"/>
        <color rgb="FF1F3864"/>
        <rFont val="Consolas"/>
        <family val="0"/>
        <charset val="1"/>
      </rPr>
      <t xml:space="preserve">/</t>
    </r>
    <r>
      <rPr>
        <sz val="9"/>
        <color rgb="FF1F3864"/>
        <rFont val="Noto Sans CJK SC"/>
        <family val="2"/>
        <charset val="1"/>
      </rPr>
      <t xml:space="preserve">風險警示
    </t>
    </r>
    <r>
      <rPr>
        <sz val="9"/>
        <color rgb="FF1F3864"/>
        <rFont val="Consolas"/>
        <family val="0"/>
        <charset val="1"/>
      </rPr>
      <t xml:space="preserve">strategy_id     INTEGER,
    current_price   REAL,
    trigger_reason  TEXT,
    is_notified     INTEGER NOT NULL DEFAULT 0,
    FOREIGN KEY (stock_id) REFERENCES stocks(stock_id),
    FOREIGN KEY (strategy_id) REFERENCES strategies(strategy_id)
);
CREATE INDEX idx_signal_time ON signal_log(signal_time);
CREATE INDEX idx_signal_stock ON signal_log(stock_id);</t>
    </r>
  </si>
  <si>
    <t xml:space="preserve">T16 positions</t>
  </si>
  <si>
    <t xml:space="preserve">CREATE TABLE positions (
    id                INTEGER PRIMARY KEY AUTOINCREMENT,
    stock_id          TEXT NOT NULL,
    entry_date        DATE NOT NULL,
    entry_price       REAL NOT NULL,
    volume            INTEGER NOT NULL,
    stop_loss         REAL NOT NULL,
    target_price      REAL,
    current_price     REAL,
    unrealized_pnl    REAL,
    strategy_id       INTEGER,
    FOREIGN KEY (stock_id) REFERENCES stocks(stock_id),
    FOREIGN KEY (strategy_id) REFERENCES strategies(strategy_id)
);</t>
  </si>
  <si>
    <t xml:space="preserve">T17 trade_journal</t>
  </si>
  <si>
    <r>
      <rPr>
        <sz val="9"/>
        <color rgb="FF1F3864"/>
        <rFont val="Consolas"/>
        <family val="0"/>
        <charset val="1"/>
      </rPr>
      <t xml:space="preserve">CREATE TABLE trade_journal (
    id             INTEGER PRIMARY KEY AUTOINCREMENT,
    stock_id       TEXT NOT NULL,
    entry_date     DATE NOT NULL,
    exit_date      DATE NOT NULL,
    entry_price    REAL NOT NULL,
    exit_price     REAL NOT NULL,
    volume         INTEGER NOT NULL,
    realized_pnl   REAL NOT NULL,
    return_pct     REAL NOT NULL,
    holding_days   INTEGER NOT NULL,
    strategy_id    INTEGER,
    exit_reason    TEXT,                       -- </t>
    </r>
    <r>
      <rPr>
        <sz val="9"/>
        <color rgb="FF1F3864"/>
        <rFont val="Noto Sans CJK SC"/>
        <family val="2"/>
        <charset val="1"/>
      </rPr>
      <t xml:space="preserve">停損</t>
    </r>
    <r>
      <rPr>
        <sz val="9"/>
        <color rgb="FF1F3864"/>
        <rFont val="Consolas"/>
        <family val="0"/>
        <charset val="1"/>
      </rPr>
      <t xml:space="preserve">/</t>
    </r>
    <r>
      <rPr>
        <sz val="9"/>
        <color rgb="FF1F3864"/>
        <rFont val="Noto Sans CJK SC"/>
        <family val="2"/>
        <charset val="1"/>
      </rPr>
      <t xml:space="preserve">停利</t>
    </r>
    <r>
      <rPr>
        <sz val="9"/>
        <color rgb="FF1F3864"/>
        <rFont val="Consolas"/>
        <family val="0"/>
        <charset val="1"/>
      </rPr>
      <t xml:space="preserve">/</t>
    </r>
    <r>
      <rPr>
        <sz val="9"/>
        <color rgb="FF1F3864"/>
        <rFont val="Noto Sans CJK SC"/>
        <family val="2"/>
        <charset val="1"/>
      </rPr>
      <t xml:space="preserve">時間停損
    </t>
    </r>
    <r>
      <rPr>
        <sz val="9"/>
        <color rgb="FF1F3864"/>
        <rFont val="Consolas"/>
        <family val="0"/>
        <charset val="1"/>
      </rPr>
      <t xml:space="preserve">notes          TEXT,
    FOREIGN KEY (stock_id) REFERENCES stocks(stock_id),
    FOREIGN KEY (strategy_id) REFERENCES strategies(strategy_id)
);
CREATE INDEX idx_journal_date ON trade_journal(entry_date);
CREATE INDEX idx_journal_stock ON trade_journal(stock_id);</t>
    </r>
  </si>
  <si>
    <t xml:space="preserve">T18 risk_events</t>
  </si>
  <si>
    <r>
      <rPr>
        <sz val="9"/>
        <color rgb="FF1F3864"/>
        <rFont val="Consolas"/>
        <family val="0"/>
        <charset val="1"/>
      </rPr>
      <t xml:space="preserve">CREATE TABLE risk_events (
    id            INTEGER PRIMARY KEY AUTOINCREMENT,
    event_time    TIMESTAMP NOT NULL,
    rule_id       TEXT NOT NULL,               -- R01-R10
    rule_name     TEXT NOT NULL,
    stock_id      TEXT,
    action        TEXT NOT NULL,               -- </t>
    </r>
    <r>
      <rPr>
        <sz val="9"/>
        <color rgb="FF1F3864"/>
        <rFont val="Noto Sans CJK SC"/>
        <family val="2"/>
        <charset val="1"/>
      </rPr>
      <t xml:space="preserve">拒絕</t>
    </r>
    <r>
      <rPr>
        <sz val="9"/>
        <color rgb="FF1F3864"/>
        <rFont val="Consolas"/>
        <family val="0"/>
        <charset val="1"/>
      </rPr>
      <t xml:space="preserve">/</t>
    </r>
    <r>
      <rPr>
        <sz val="9"/>
        <color rgb="FF1F3864"/>
        <rFont val="Noto Sans CJK SC"/>
        <family val="2"/>
        <charset val="1"/>
      </rPr>
      <t xml:space="preserve">警示</t>
    </r>
    <r>
      <rPr>
        <sz val="9"/>
        <color rgb="FF1F3864"/>
        <rFont val="Consolas"/>
        <family val="0"/>
        <charset val="1"/>
      </rPr>
      <t xml:space="preserve">/</t>
    </r>
    <r>
      <rPr>
        <sz val="9"/>
        <color rgb="FF1F3864"/>
        <rFont val="Noto Sans CJK SC"/>
        <family val="2"/>
        <charset val="1"/>
      </rPr>
      <t xml:space="preserve">鎖單
    </t>
    </r>
    <r>
      <rPr>
        <sz val="9"/>
        <color rgb="FF1F3864"/>
        <rFont val="Consolas"/>
        <family val="0"/>
        <charset val="1"/>
      </rPr>
      <t xml:space="preserve">details       TEXT,
    FOREIGN KEY (stock_id) REFERENCES stocks(stock_id)
);
CREATE INDEX idx_risk_time ON risk_events(event_time);</t>
    </r>
  </si>
  <si>
    <t xml:space="preserve">T19 system_config</t>
  </si>
  <si>
    <r>
      <rPr>
        <sz val="9"/>
        <color rgb="FF1F3864"/>
        <rFont val="Consolas"/>
        <family val="0"/>
        <charset val="1"/>
      </rPr>
      <t xml:space="preserve">CREATE TABLE system_config (
    config_key    TEXT PRIMARY KEY,
    config_value  TEXT NOT NULL,
    description   TEXT,
    updated_at    TIMESTAMP DEFAULT CURRENT_TIMESTAMP
);
-- </t>
    </r>
    <r>
      <rPr>
        <sz val="9"/>
        <color rgb="FF1F3864"/>
        <rFont val="Noto Sans CJK SC"/>
        <family val="2"/>
        <charset val="1"/>
      </rPr>
      <t xml:space="preserve">預設值
</t>
    </r>
    <r>
      <rPr>
        <sz val="9"/>
        <color rgb="FF1F3864"/>
        <rFont val="Consolas"/>
        <family val="0"/>
        <charset val="1"/>
      </rPr>
      <t xml:space="preserve">INSERT INTO system_config VALUES ('total_capital', '1000000', '</t>
    </r>
    <r>
      <rPr>
        <sz val="9"/>
        <color rgb="FF1F3864"/>
        <rFont val="Noto Sans CJK SC"/>
        <family val="2"/>
        <charset val="1"/>
      </rPr>
      <t xml:space="preserve">總資金</t>
    </r>
    <r>
      <rPr>
        <sz val="9"/>
        <color rgb="FF1F3864"/>
        <rFont val="Consolas"/>
        <family val="0"/>
        <charset val="1"/>
      </rPr>
      <t xml:space="preserve">', CURRENT_TIMESTAMP);
INSERT INTO system_config VALUES ('max_risk_per_trade', '0.01', '</t>
    </r>
    <r>
      <rPr>
        <sz val="9"/>
        <color rgb="FF1F3864"/>
        <rFont val="Noto Sans CJK SC"/>
        <family val="2"/>
        <charset val="1"/>
      </rPr>
      <t xml:space="preserve">單筆風險上限</t>
    </r>
    <r>
      <rPr>
        <sz val="9"/>
        <color rgb="FF1F3864"/>
        <rFont val="Consolas"/>
        <family val="0"/>
        <charset val="1"/>
      </rPr>
      <t xml:space="preserve">', CURRENT_TIMESTAMP);
INSERT INTO system_config VALUES ('max_position_per_stock', '0.20', '</t>
    </r>
    <r>
      <rPr>
        <sz val="9"/>
        <color rgb="FF1F3864"/>
        <rFont val="Noto Sans CJK SC"/>
        <family val="2"/>
        <charset val="1"/>
      </rPr>
      <t xml:space="preserve">單股上限</t>
    </r>
    <r>
      <rPr>
        <sz val="9"/>
        <color rgb="FF1F3864"/>
        <rFont val="Consolas"/>
        <family val="0"/>
        <charset val="1"/>
      </rPr>
      <t xml:space="preserve">', CURRENT_TIMESTAMP);
INSERT INTO system_config VALUES ('max_industry_exposure', '0.40', '</t>
    </r>
    <r>
      <rPr>
        <sz val="9"/>
        <color rgb="FF1F3864"/>
        <rFont val="Noto Sans CJK SC"/>
        <family val="2"/>
        <charset val="1"/>
      </rPr>
      <t xml:space="preserve">產業曝險上限</t>
    </r>
    <r>
      <rPr>
        <sz val="9"/>
        <color rgb="FF1F3864"/>
        <rFont val="Consolas"/>
        <family val="0"/>
        <charset val="1"/>
      </rPr>
      <t xml:space="preserve">', CURRENT_TIMESTAMP);
INSERT INTO system_config VALUES ('consec_loss_limit', '3', '</t>
    </r>
    <r>
      <rPr>
        <sz val="9"/>
        <color rgb="FF1F3864"/>
        <rFont val="Noto Sans CJK SC"/>
        <family val="2"/>
        <charset val="1"/>
      </rPr>
      <t xml:space="preserve">連虧鎖單筆數</t>
    </r>
    <r>
      <rPr>
        <sz val="9"/>
        <color rgb="FF1F3864"/>
        <rFont val="Consolas"/>
        <family val="0"/>
        <charset val="1"/>
      </rPr>
      <t xml:space="preserve">', CURRENT_TIMESTAMP);</t>
    </r>
  </si>
  <si>
    <t xml:space="preserve">T20 fetch_log</t>
  </si>
  <si>
    <t xml:space="preserve">CREATE TABLE fetch_log (
    id              INTEGER PRIMARY KEY AUTOINCREMENT,
    fetch_time      TIMESTAMP NOT NULL,
    source          TEXT NOT NULL,
    status          TEXT NOT NULL,
    record_count    INTEGER,
    duration_ms     INTEGER,
    error_message   TEXT
);
CREATE INDEX idx_fetch_time ON fetch_log(fetch_time);</t>
  </si>
  <si>
    <t xml:space="preserve">索引策略與資料生命週期</t>
  </si>
  <si>
    <t xml:space="preserve">🔍 索引策略</t>
  </si>
  <si>
    <t xml:space="preserve">表名</t>
  </si>
  <si>
    <t xml:space="preserve">索引欄位</t>
  </si>
  <si>
    <t xml:space="preserve">類型</t>
  </si>
  <si>
    <t xml:space="preserve">(stock_id, trade_date)</t>
  </si>
  <si>
    <t xml:space="preserve">複合索引</t>
  </si>
  <si>
    <t xml:space="preserve">個股歷史查詢最常用</t>
  </si>
  <si>
    <t xml:space="preserve">單欄索引</t>
  </si>
  <si>
    <t xml:space="preserve">跨股當日查詢</t>
  </si>
  <si>
    <t xml:space="preserve">查特定股歷史法人資料</t>
  </si>
  <si>
    <t xml:space="preserve">券資比歷史</t>
  </si>
  <si>
    <r>
      <rPr>
        <sz val="10"/>
        <rFont val="Noto Sans CJK SC"/>
        <family val="2"/>
        <charset val="1"/>
      </rPr>
      <t xml:space="preserve">查詢當前觀察中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已進場清單</t>
    </r>
  </si>
  <si>
    <t xml:space="preserve">查詢歷史觀察紀錄</t>
  </si>
  <si>
    <t xml:space="preserve">時間範圍查詢</t>
  </si>
  <si>
    <t xml:space="preserve">個股訊號歷史</t>
  </si>
  <si>
    <r>
      <rPr>
        <sz val="10"/>
        <rFont val="Noto Sans CJK SC"/>
        <family val="2"/>
        <charset val="1"/>
      </rPr>
      <t xml:space="preserve">月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年績效統計</t>
    </r>
  </si>
  <si>
    <t xml:space="preserve">風控事件時序查詢</t>
  </si>
  <si>
    <r>
      <rPr>
        <sz val="10"/>
        <rFont val="Noto Sans CJK SC"/>
        <family val="2"/>
        <charset val="1"/>
      </rPr>
      <t xml:space="preserve">上市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上櫃篩選</t>
    </r>
  </si>
  <si>
    <t xml:space="preserve">產業別統計</t>
  </si>
  <si>
    <t xml:space="preserve">🗑️ 資料生命週期與清理策略</t>
  </si>
  <si>
    <t xml:space="preserve">資料表</t>
  </si>
  <si>
    <t xml:space="preserve">保留期限</t>
  </si>
  <si>
    <t xml:space="preserve">清理策略</t>
  </si>
  <si>
    <t xml:space="preserve">永久</t>
  </si>
  <si>
    <r>
      <rPr>
        <sz val="10"/>
        <rFont val="Microsoft JhengHei"/>
        <family val="0"/>
        <charset val="1"/>
      </rPr>
      <t xml:space="preserve">K </t>
    </r>
    <r>
      <rPr>
        <sz val="10"/>
        <rFont val="Noto Sans CJK SC"/>
        <family val="2"/>
        <charset val="1"/>
      </rPr>
      <t xml:space="preserve">線資料需保留供回測，不清理</t>
    </r>
  </si>
  <si>
    <r>
      <rPr>
        <sz val="10"/>
        <rFont val="Microsoft JhengHei"/>
        <family val="0"/>
        <charset val="1"/>
      </rPr>
      <t xml:space="preserve">3 </t>
    </r>
    <r>
      <rPr>
        <sz val="10"/>
        <rFont val="Noto Sans CJK SC"/>
        <family val="2"/>
        <charset val="1"/>
      </rPr>
      <t xml:space="preserve">年</t>
    </r>
  </si>
  <si>
    <r>
      <rPr>
        <sz val="10"/>
        <rFont val="Microsoft JhengHei"/>
        <family val="0"/>
        <charset val="1"/>
      </rPr>
      <t xml:space="preserve">3 </t>
    </r>
    <r>
      <rPr>
        <sz val="10"/>
        <rFont val="Noto Sans CJK SC"/>
        <family val="2"/>
        <charset val="1"/>
      </rPr>
      <t xml:space="preserve">年前資料歸檔為 </t>
    </r>
    <r>
      <rPr>
        <sz val="10"/>
        <rFont val="Microsoft JhengHei"/>
        <family val="0"/>
        <charset val="1"/>
      </rPr>
      <t xml:space="preserve">Parquet </t>
    </r>
    <r>
      <rPr>
        <sz val="10"/>
        <rFont val="Noto Sans CJK SC"/>
        <family val="2"/>
        <charset val="1"/>
      </rPr>
      <t xml:space="preserve">壓縮存放</t>
    </r>
  </si>
  <si>
    <r>
      <rPr>
        <sz val="10"/>
        <rFont val="Microsoft JhengHei"/>
        <family val="0"/>
        <charset val="1"/>
      </rPr>
      <t xml:space="preserve">2 </t>
    </r>
    <r>
      <rPr>
        <sz val="10"/>
        <rFont val="Noto Sans CJK SC"/>
        <family val="2"/>
        <charset val="1"/>
      </rPr>
      <t xml:space="preserve">年</t>
    </r>
  </si>
  <si>
    <r>
      <rPr>
        <sz val="10"/>
        <rFont val="Microsoft JhengHei"/>
        <family val="0"/>
        <charset val="1"/>
      </rPr>
      <t xml:space="preserve">2 </t>
    </r>
    <r>
      <rPr>
        <sz val="10"/>
        <rFont val="Noto Sans CJK SC"/>
        <family val="2"/>
        <charset val="1"/>
      </rPr>
      <t xml:space="preserve">年前資料歸檔</t>
    </r>
  </si>
  <si>
    <r>
      <rPr>
        <sz val="10"/>
        <rFont val="Microsoft JhengHei"/>
        <family val="0"/>
        <charset val="1"/>
      </rPr>
      <t xml:space="preserve">1 </t>
    </r>
    <r>
      <rPr>
        <sz val="10"/>
        <rFont val="Noto Sans CJK SC"/>
        <family val="2"/>
        <charset val="1"/>
      </rPr>
      <t xml:space="preserve">年</t>
    </r>
  </si>
  <si>
    <t xml:space="preserve">每年清理</t>
  </si>
  <si>
    <r>
      <rPr>
        <sz val="10"/>
        <rFont val="Microsoft JhengHei"/>
        <family val="0"/>
        <charset val="1"/>
      </rPr>
      <t xml:space="preserve">6 </t>
    </r>
    <r>
      <rPr>
        <sz val="10"/>
        <rFont val="Noto Sans CJK SC"/>
        <family val="2"/>
        <charset val="1"/>
      </rPr>
      <t xml:space="preserve">個月</t>
    </r>
  </si>
  <si>
    <t xml:space="preserve">分點資料量大，僅保留半年</t>
  </si>
  <si>
    <t xml:space="preserve">營收資料為基本面分析必需，保留</t>
  </si>
  <si>
    <t xml:space="preserve">同上</t>
  </si>
  <si>
    <t xml:space="preserve">回測需要</t>
  </si>
  <si>
    <r>
      <rPr>
        <sz val="10"/>
        <rFont val="Microsoft JhengHei"/>
        <family val="0"/>
        <charset val="1"/>
      </rPr>
      <t xml:space="preserve">1 </t>
    </r>
    <r>
      <rPr>
        <sz val="10"/>
        <rFont val="Noto Sans CJK SC"/>
        <family val="2"/>
        <charset val="1"/>
      </rPr>
      <t xml:space="preserve">年前歸檔為 </t>
    </r>
    <r>
      <rPr>
        <sz val="10"/>
        <rFont val="Microsoft JhengHei"/>
        <family val="0"/>
        <charset val="1"/>
      </rPr>
      <t xml:space="preserve">CSV</t>
    </r>
  </si>
  <si>
    <r>
      <rPr>
        <sz val="10"/>
        <rFont val="Microsoft JhengHei"/>
        <family val="0"/>
        <charset val="1"/>
      </rPr>
      <t xml:space="preserve">3 </t>
    </r>
    <r>
      <rPr>
        <sz val="10"/>
        <rFont val="Noto Sans CJK SC"/>
        <family val="2"/>
        <charset val="1"/>
      </rPr>
      <t xml:space="preserve">個月</t>
    </r>
  </si>
  <si>
    <t xml:space="preserve">運維日誌，短期保留</t>
  </si>
  <si>
    <t xml:space="preserve">重要事件，保留供檢討</t>
  </si>
  <si>
    <t xml:space="preserve">交易紀錄必須永久保留</t>
  </si>
  <si>
    <r>
      <rPr>
        <b val="true"/>
        <sz val="10"/>
        <rFont val="Microsoft JhengHei"/>
        <family val="0"/>
        <charset val="1"/>
      </rPr>
      <t xml:space="preserve">watchlist (</t>
    </r>
    <r>
      <rPr>
        <b val="true"/>
        <sz val="10"/>
        <rFont val="Noto Sans CJK SC"/>
        <family val="2"/>
        <charset val="1"/>
      </rPr>
      <t xml:space="preserve">已淘汰</t>
    </r>
    <r>
      <rPr>
        <b val="true"/>
        <sz val="10"/>
        <rFont val="Microsoft JhengHei"/>
        <family val="0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</si>
  <si>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已淘汰清單保留 </t>
    </r>
    <r>
      <rPr>
        <sz val="10"/>
        <rFont val="Microsoft JhengHei"/>
        <family val="0"/>
        <charset val="1"/>
      </rPr>
      <t xml:space="preserve">3 </t>
    </r>
    <r>
      <rPr>
        <sz val="10"/>
        <rFont val="Noto Sans CJK SC"/>
        <family val="2"/>
        <charset val="1"/>
      </rPr>
      <t xml:space="preserve">個月供追蹤</t>
    </r>
  </si>
  <si>
    <r>
      <rPr>
        <b val="true"/>
        <sz val="16"/>
        <color rgb="FF1F3864"/>
        <rFont val="Noto Sans CJK SC"/>
        <family val="2"/>
        <charset val="1"/>
      </rPr>
      <t xml:space="preserve">資料庫容量估算（</t>
    </r>
    <r>
      <rPr>
        <b val="true"/>
        <sz val="16"/>
        <color rgb="FF1F3864"/>
        <rFont val="Microsoft JhengHei"/>
        <family val="0"/>
        <charset val="1"/>
      </rPr>
      <t xml:space="preserve">3 </t>
    </r>
    <r>
      <rPr>
        <b val="true"/>
        <sz val="16"/>
        <color rgb="FF1F3864"/>
        <rFont val="Noto Sans CJK SC"/>
        <family val="2"/>
        <charset val="1"/>
      </rPr>
      <t xml:space="preserve">年成長預估）</t>
    </r>
  </si>
  <si>
    <r>
      <rPr>
        <i val="true"/>
        <sz val="9"/>
        <color rgb="FF595959"/>
        <rFont val="Noto Sans CJK SC"/>
        <family val="2"/>
        <charset val="1"/>
      </rPr>
      <t xml:space="preserve">以下為 </t>
    </r>
    <r>
      <rPr>
        <i val="true"/>
        <sz val="9"/>
        <color rgb="FF595959"/>
        <rFont val="Microsoft JhengHei"/>
        <family val="0"/>
        <charset val="1"/>
      </rPr>
      <t xml:space="preserve">3 </t>
    </r>
    <r>
      <rPr>
        <i val="true"/>
        <sz val="9"/>
        <color rgb="FF595959"/>
        <rFont val="Noto Sans CJK SC"/>
        <family val="2"/>
        <charset val="1"/>
      </rPr>
      <t xml:space="preserve">年運行後的預估資料量，用於評估 </t>
    </r>
    <r>
      <rPr>
        <i val="true"/>
        <sz val="9"/>
        <color rgb="FF595959"/>
        <rFont val="Microsoft JhengHei"/>
        <family val="0"/>
        <charset val="1"/>
      </rPr>
      <t xml:space="preserve">SQLite </t>
    </r>
    <r>
      <rPr>
        <i val="true"/>
        <sz val="9"/>
        <color rgb="FF595959"/>
        <rFont val="Noto Sans CJK SC"/>
        <family val="2"/>
        <charset val="1"/>
      </rPr>
      <t xml:space="preserve">是否適用，或何時升級 </t>
    </r>
    <r>
      <rPr>
        <i val="true"/>
        <sz val="9"/>
        <color rgb="FF595959"/>
        <rFont val="Microsoft JhengHei"/>
        <family val="0"/>
        <charset val="1"/>
      </rPr>
      <t xml:space="preserve">PostgreSQL</t>
    </r>
  </si>
  <si>
    <r>
      <rPr>
        <b val="true"/>
        <sz val="11"/>
        <color rgb="FFFFFFFF"/>
        <rFont val="Noto Sans CJK SC"/>
        <family val="2"/>
        <charset val="1"/>
      </rPr>
      <t xml:space="preserve">單筆大小</t>
    </r>
    <r>
      <rPr>
        <b val="true"/>
        <sz val="11"/>
        <color rgb="FFFFFFFF"/>
        <rFont val="Microsoft JhengHei"/>
        <family val="0"/>
        <charset val="1"/>
      </rPr>
      <t xml:space="preserve">(bytes)</t>
    </r>
  </si>
  <si>
    <t xml:space="preserve">每日新增</t>
  </si>
  <si>
    <r>
      <rPr>
        <b val="true"/>
        <sz val="11"/>
        <color rgb="FFFFFFFF"/>
        <rFont val="Microsoft JhengHei"/>
        <family val="0"/>
        <charset val="1"/>
      </rPr>
      <t xml:space="preserve">3 </t>
    </r>
    <r>
      <rPr>
        <b val="true"/>
        <sz val="11"/>
        <color rgb="FFFFFFFF"/>
        <rFont val="Noto Sans CJK SC"/>
        <family val="2"/>
        <charset val="1"/>
      </rPr>
      <t xml:space="preserve">年總筆數</t>
    </r>
  </si>
  <si>
    <r>
      <rPr>
        <b val="true"/>
        <sz val="11"/>
        <color rgb="FFFFFFFF"/>
        <rFont val="Microsoft JhengHei"/>
        <family val="0"/>
        <charset val="1"/>
      </rPr>
      <t xml:space="preserve">3 </t>
    </r>
    <r>
      <rPr>
        <b val="true"/>
        <sz val="11"/>
        <color rgb="FFFFFFFF"/>
        <rFont val="Noto Sans CJK SC"/>
        <family val="2"/>
        <charset val="1"/>
      </rPr>
      <t xml:space="preserve">年估算大小</t>
    </r>
  </si>
  <si>
    <t xml:space="preserve">100</t>
  </si>
  <si>
    <t xml:space="preserve">1700</t>
  </si>
  <si>
    <r>
      <rPr>
        <sz val="10"/>
        <rFont val="Noto Sans CJK SC"/>
        <family val="2"/>
        <charset val="1"/>
      </rPr>
      <t xml:space="preserve">個股 </t>
    </r>
    <r>
      <rPr>
        <sz val="10"/>
        <rFont val="Microsoft JhengHei"/>
        <family val="0"/>
        <charset val="1"/>
      </rPr>
      <t xml:space="preserve">× </t>
    </r>
    <r>
      <rPr>
        <sz val="10"/>
        <rFont val="Noto Sans CJK SC"/>
        <family val="2"/>
        <charset val="1"/>
      </rPr>
      <t xml:space="preserve">交易日</t>
    </r>
  </si>
  <si>
    <t xml:space="preserve">80</t>
  </si>
  <si>
    <t xml:space="preserve">1700/7</t>
  </si>
  <si>
    <t xml:space="preserve">每週更新</t>
  </si>
  <si>
    <t xml:space="preserve">50000</t>
  </si>
  <si>
    <t xml:space="preserve">分點資料量大</t>
  </si>
  <si>
    <t xml:space="preserve">1700/30</t>
  </si>
  <si>
    <t xml:space="preserve">每月更新</t>
  </si>
  <si>
    <t xml:space="preserve">150</t>
  </si>
  <si>
    <t xml:space="preserve">1700/90</t>
  </si>
  <si>
    <t xml:space="preserve">每季更新</t>
  </si>
  <si>
    <t xml:space="preserve">5</t>
  </si>
  <si>
    <t xml:space="preserve">50</t>
  </si>
  <si>
    <t xml:space="preserve">200</t>
  </si>
  <si>
    <t xml:space="preserve">1</t>
  </si>
  <si>
    <t xml:space="preserve">其他小表</t>
  </si>
  <si>
    <t xml:space="preserve">10</t>
  </si>
  <si>
    <t xml:space="preserve">總計</t>
  </si>
  <si>
    <r>
      <rPr>
        <sz val="10"/>
        <rFont val="Noto Sans CJK SC"/>
        <family val="2"/>
        <charset val="1"/>
      </rPr>
      <t xml:space="preserve">總估算大小（</t>
    </r>
    <r>
      <rPr>
        <sz val="10"/>
        <rFont val="Microsoft JhengHei"/>
        <family val="0"/>
        <charset val="1"/>
      </rPr>
      <t xml:space="preserve">bytes</t>
    </r>
    <r>
      <rPr>
        <sz val="10"/>
        <rFont val="Noto Sans CJK SC"/>
        <family val="2"/>
        <charset val="1"/>
      </rPr>
      <t xml:space="preserve">）</t>
    </r>
  </si>
  <si>
    <r>
      <rPr>
        <sz val="11"/>
        <color theme="1"/>
        <rFont val="Noto Sans CJK SC"/>
        <family val="2"/>
        <charset val="1"/>
      </rPr>
      <t xml:space="preserve">換算 </t>
    </r>
    <r>
      <rPr>
        <sz val="11"/>
        <color theme="1"/>
        <rFont val="Calibri"/>
        <family val="2"/>
        <charset val="1"/>
      </rPr>
      <t xml:space="preserve">MB</t>
    </r>
  </si>
  <si>
    <t xml:space="preserve">MB</t>
  </si>
  <si>
    <t xml:space="preserve">📌 結論</t>
  </si>
  <si>
    <r>
      <rPr>
        <sz val="10"/>
        <rFont val="Microsoft JhengHei"/>
        <family val="0"/>
        <charset val="1"/>
      </rPr>
      <t xml:space="preserve">1. 3 </t>
    </r>
    <r>
      <rPr>
        <sz val="10"/>
        <rFont val="Noto Sans CJK SC"/>
        <family val="2"/>
        <charset val="1"/>
      </rPr>
      <t xml:space="preserve">年後總資料量估計約 </t>
    </r>
    <r>
      <rPr>
        <sz val="10"/>
        <rFont val="Microsoft JhengHei"/>
        <family val="0"/>
        <charset val="1"/>
      </rPr>
      <t xml:space="preserve">500 MB - 1 GB</t>
    </r>
    <r>
      <rPr>
        <sz val="10"/>
        <rFont val="Noto Sans CJK SC"/>
        <family val="2"/>
        <charset val="1"/>
      </rPr>
      <t xml:space="preserve">，</t>
    </r>
    <r>
      <rPr>
        <sz val="10"/>
        <rFont val="Microsoft JhengHei"/>
        <family val="0"/>
        <charset val="1"/>
      </rPr>
      <t xml:space="preserve">SQLite </t>
    </r>
    <r>
      <rPr>
        <sz val="10"/>
        <rFont val="Noto Sans CJK SC"/>
        <family val="2"/>
        <charset val="1"/>
      </rPr>
      <t xml:space="preserve">完全可以應付（單檔上限理論 </t>
    </r>
    <r>
      <rPr>
        <sz val="10"/>
        <rFont val="Microsoft JhengHei"/>
        <family val="0"/>
        <charset val="1"/>
      </rPr>
      <t xml:space="preserve">281 TB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</si>
  <si>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Microsoft JhengHei"/>
        <family val="0"/>
        <charset val="1"/>
      </rPr>
      <t xml:space="preserve">2. </t>
    </r>
    <r>
      <rPr>
        <sz val="10"/>
        <rFont val="Noto Sans CJK SC"/>
        <family val="2"/>
        <charset val="1"/>
      </rPr>
      <t xml:space="preserve">若不含 </t>
    </r>
    <r>
      <rPr>
        <sz val="10"/>
        <rFont val="Microsoft JhengHei"/>
        <family val="0"/>
        <charset val="1"/>
      </rPr>
      <t xml:space="preserve">broker_trades</t>
    </r>
    <r>
      <rPr>
        <sz val="10"/>
        <rFont val="Noto Sans CJK SC"/>
        <family val="2"/>
        <charset val="1"/>
      </rPr>
      <t xml:space="preserve">（分點資料）：約 </t>
    </r>
    <r>
      <rPr>
        <sz val="10"/>
        <rFont val="Microsoft JhengHei"/>
        <family val="0"/>
        <charset val="1"/>
      </rPr>
      <t xml:space="preserve">200 MB</t>
    </r>
    <r>
      <rPr>
        <sz val="10"/>
        <rFont val="Noto Sans CJK SC"/>
        <family val="2"/>
        <charset val="1"/>
      </rPr>
      <t xml:space="preserve">，非常輕量</t>
    </r>
  </si>
  <si>
    <r>
      <rPr>
        <sz val="10"/>
        <rFont val="Microsoft JhengHei"/>
        <family val="0"/>
        <charset val="1"/>
      </rPr>
      <t xml:space="preserve">3. </t>
    </r>
    <r>
      <rPr>
        <sz val="10"/>
        <rFont val="Noto Sans CJK SC"/>
        <family val="2"/>
        <charset val="1"/>
      </rPr>
      <t xml:space="preserve">建議策略：初期用 </t>
    </r>
    <r>
      <rPr>
        <sz val="10"/>
        <rFont val="Microsoft JhengHei"/>
        <family val="0"/>
        <charset val="1"/>
      </rPr>
      <t xml:space="preserve">SQLite → </t>
    </r>
    <r>
      <rPr>
        <sz val="10"/>
        <rFont val="Noto Sans CJK SC"/>
        <family val="2"/>
        <charset val="1"/>
      </rPr>
      <t xml:space="preserve">資料量 </t>
    </r>
    <r>
      <rPr>
        <sz val="10"/>
        <rFont val="Microsoft JhengHei"/>
        <family val="0"/>
        <charset val="1"/>
      </rPr>
      <t xml:space="preserve">&gt; 5 GB </t>
    </r>
    <r>
      <rPr>
        <sz val="10"/>
        <rFont val="Noto Sans CJK SC"/>
        <family val="2"/>
        <charset val="1"/>
      </rPr>
      <t xml:space="preserve">或多使用者時再升級 </t>
    </r>
    <r>
      <rPr>
        <sz val="10"/>
        <rFont val="Microsoft JhengHei"/>
        <family val="0"/>
        <charset val="1"/>
      </rPr>
      <t xml:space="preserve">PostgreSQL</t>
    </r>
  </si>
  <si>
    <r>
      <rPr>
        <sz val="10"/>
        <rFont val="Microsoft JhengHei"/>
        <family val="0"/>
        <charset val="1"/>
      </rPr>
      <t xml:space="preserve">4. </t>
    </r>
    <r>
      <rPr>
        <sz val="10"/>
        <rFont val="Noto Sans CJK SC"/>
        <family val="2"/>
        <charset val="1"/>
      </rPr>
      <t xml:space="preserve">效能瓶頸不在容量，而在索引設計與查詢優化</t>
    </r>
  </si>
  <si>
    <r>
      <rPr>
        <sz val="10"/>
        <rFont val="Microsoft JhengHei"/>
        <family val="0"/>
        <charset val="1"/>
      </rPr>
      <t xml:space="preserve">5. </t>
    </r>
    <r>
      <rPr>
        <sz val="10"/>
        <rFont val="Noto Sans CJK SC"/>
        <family val="2"/>
        <charset val="1"/>
      </rPr>
      <t xml:space="preserve">備份策略：每日 </t>
    </r>
    <r>
      <rPr>
        <sz val="10"/>
        <rFont val="Microsoft JhengHei"/>
        <family val="0"/>
        <charset val="1"/>
      </rPr>
      <t xml:space="preserve">SQLite </t>
    </r>
    <r>
      <rPr>
        <sz val="10"/>
        <rFont val="Noto Sans CJK SC"/>
        <family val="2"/>
        <charset val="1"/>
      </rPr>
      <t xml:space="preserve">檔案 </t>
    </r>
    <r>
      <rPr>
        <sz val="10"/>
        <rFont val="Microsoft JhengHei"/>
        <family val="0"/>
        <charset val="1"/>
      </rPr>
      <t xml:space="preserve">rclone </t>
    </r>
    <r>
      <rPr>
        <sz val="10"/>
        <rFont val="Noto Sans CJK SC"/>
        <family val="2"/>
        <charset val="1"/>
      </rPr>
      <t xml:space="preserve">同步到 </t>
    </r>
    <r>
      <rPr>
        <sz val="10"/>
        <rFont val="Microsoft JhengHei"/>
        <family val="0"/>
        <charset val="1"/>
      </rPr>
      <t xml:space="preserve">Google Drive/OneDrive</t>
    </r>
    <r>
      <rPr>
        <sz val="10"/>
        <rFont val="Noto Sans CJK SC"/>
        <family val="2"/>
        <charset val="1"/>
      </rPr>
      <t xml:space="preserve">（免費空間夠用）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</si>
</sst>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Noto Sans CJK SC"/>
      <family val="2"/>
      <charset val="1"/>
    </font>
    <font>
      <b val="true"/>
      <sz val="16"/>
      <color rgb="FF1F3864"/>
      <name val="Microsoft JhengHei"/>
      <family val="0"/>
      <charset val="1"/>
    </font>
    <font>
      <i val="true"/>
      <sz val="9"/>
      <color rgb="FF595959"/>
      <name val="Noto Sans CJK SC"/>
      <family val="2"/>
      <charset val="1"/>
    </font>
    <font>
      <i val="true"/>
      <sz val="9"/>
      <color rgb="FF595959"/>
      <name val="Microsoft JhengHei"/>
      <family val="0"/>
      <charset val="1"/>
    </font>
    <font>
      <b val="true"/>
      <sz val="12"/>
      <color rgb="FF2E5C8A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0"/>
      <name val="Microsoft JhengHei"/>
      <family val="0"/>
      <charset val="1"/>
    </font>
    <font>
      <b val="true"/>
      <sz val="10"/>
      <name val="Microsoft JhengHei"/>
      <family val="0"/>
      <charset val="1"/>
    </font>
    <font>
      <sz val="10"/>
      <name val="Noto Sans CJK SC"/>
      <family val="2"/>
      <charset val="1"/>
    </font>
    <font>
      <sz val="10"/>
      <color rgb="FF1F3864"/>
      <name val="Consolas"/>
      <family val="0"/>
      <charset val="1"/>
    </font>
    <font>
      <sz val="10"/>
      <color rgb="FF1F3864"/>
      <name val="Noto Sans CJK SC"/>
      <family val="2"/>
      <charset val="1"/>
    </font>
    <font>
      <b val="true"/>
      <sz val="12"/>
      <color rgb="FFFFFFFF"/>
      <name val="Microsoft JhengHei"/>
      <family val="0"/>
      <charset val="1"/>
    </font>
    <font>
      <b val="true"/>
      <sz val="12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1"/>
      <color rgb="FFFFFFFF"/>
      <name val="Microsoft JhengHei"/>
      <family val="0"/>
      <charset val="1"/>
    </font>
    <font>
      <sz val="9"/>
      <color rgb="FF1F3864"/>
      <name val="Consolas"/>
      <family val="0"/>
      <charset val="1"/>
    </font>
    <font>
      <sz val="9"/>
      <color rgb="FF1F3864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1"/>
      <color theme="1"/>
      <name val="Noto Sans CJK SC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2E5C8A"/>
        <bgColor rgb="FF4472C4"/>
      </patternFill>
    </fill>
    <fill>
      <patternFill patternType="solid">
        <fgColor rgb="FFDE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FCE4D6"/>
      </patternFill>
    </fill>
    <fill>
      <patternFill patternType="solid">
        <fgColor rgb="FFEDEDED"/>
        <bgColor rgb="FFF5F5F5"/>
      </patternFill>
    </fill>
    <fill>
      <patternFill patternType="solid">
        <fgColor rgb="FFD9E1F2"/>
        <bgColor rgb="FFDEEBF7"/>
      </patternFill>
    </fill>
    <fill>
      <patternFill patternType="solid">
        <fgColor rgb="FFD0CECE"/>
        <bgColor rgb="FFBFBFBF"/>
      </patternFill>
    </fill>
    <fill>
      <patternFill patternType="solid">
        <fgColor rgb="FF1F3864"/>
        <bgColor rgb="FF333333"/>
      </patternFill>
    </fill>
    <fill>
      <patternFill patternType="solid">
        <fgColor rgb="FF4472C4"/>
        <bgColor rgb="FF2E5C8A"/>
      </patternFill>
    </fill>
    <fill>
      <patternFill patternType="solid">
        <fgColor rgb="FFFFE699"/>
        <bgColor rgb="FFFFF2CC"/>
      </patternFill>
    </fill>
    <fill>
      <patternFill patternType="solid">
        <fgColor rgb="FFF5F5F5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1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9" fillId="1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D9E1F2"/>
      <rgbColor rgb="FFFCE4D6"/>
      <rgbColor rgb="FFF5F5F5"/>
      <rgbColor rgb="FFF4CCCC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34"/>
    <col collapsed="false" customWidth="true" hidden="false" outlineLevel="0" max="5" min="5" style="1" width="12"/>
    <col collapsed="false" customWidth="true" hidden="false" outlineLevel="0" max="6" min="6" style="1" width="14"/>
  </cols>
  <sheetData>
    <row r="1" customFormat="false" ht="23.8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2</v>
      </c>
    </row>
    <row r="5" customFormat="false" ht="24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false" outlineLevel="0" collapsed="false">
      <c r="A6" s="6" t="s">
        <v>9</v>
      </c>
      <c r="B6" s="7" t="s">
        <v>10</v>
      </c>
      <c r="C6" s="8" t="s">
        <v>11</v>
      </c>
      <c r="D6" s="9" t="s">
        <v>12</v>
      </c>
      <c r="E6" s="6" t="s">
        <v>13</v>
      </c>
      <c r="F6" s="10" t="s">
        <v>14</v>
      </c>
    </row>
    <row r="7" customFormat="false" ht="15" hidden="false" customHeight="false" outlineLevel="0" collapsed="false">
      <c r="A7" s="6" t="s">
        <v>15</v>
      </c>
      <c r="B7" s="7" t="s">
        <v>16</v>
      </c>
      <c r="C7" s="11" t="s">
        <v>17</v>
      </c>
      <c r="D7" s="9" t="s">
        <v>18</v>
      </c>
      <c r="E7" s="6" t="s">
        <v>19</v>
      </c>
      <c r="F7" s="10" t="s">
        <v>20</v>
      </c>
    </row>
    <row r="8" customFormat="false" ht="15" hidden="false" customHeight="false" outlineLevel="0" collapsed="false">
      <c r="A8" s="6" t="s">
        <v>21</v>
      </c>
      <c r="B8" s="7" t="s">
        <v>22</v>
      </c>
      <c r="C8" s="12" t="s">
        <v>23</v>
      </c>
      <c r="D8" s="9" t="s">
        <v>24</v>
      </c>
      <c r="E8" s="6" t="s">
        <v>25</v>
      </c>
      <c r="F8" s="10" t="s">
        <v>26</v>
      </c>
    </row>
    <row r="9" customFormat="false" ht="15" hidden="false" customHeight="false" outlineLevel="0" collapsed="false">
      <c r="A9" s="6" t="s">
        <v>27</v>
      </c>
      <c r="B9" s="7" t="s">
        <v>28</v>
      </c>
      <c r="C9" s="12" t="s">
        <v>23</v>
      </c>
      <c r="D9" s="9" t="s">
        <v>29</v>
      </c>
      <c r="E9" s="6" t="s">
        <v>25</v>
      </c>
      <c r="F9" s="10" t="s">
        <v>30</v>
      </c>
    </row>
    <row r="10" customFormat="false" ht="15" hidden="false" customHeight="false" outlineLevel="0" collapsed="false">
      <c r="A10" s="6" t="s">
        <v>31</v>
      </c>
      <c r="B10" s="7" t="s">
        <v>32</v>
      </c>
      <c r="C10" s="12" t="s">
        <v>23</v>
      </c>
      <c r="D10" s="9" t="s">
        <v>33</v>
      </c>
      <c r="E10" s="6" t="s">
        <v>34</v>
      </c>
      <c r="F10" s="10" t="s">
        <v>14</v>
      </c>
    </row>
    <row r="11" customFormat="false" ht="15" hidden="false" customHeight="false" outlineLevel="0" collapsed="false">
      <c r="A11" s="6" t="s">
        <v>35</v>
      </c>
      <c r="B11" s="7" t="s">
        <v>36</v>
      </c>
      <c r="C11" s="12" t="s">
        <v>23</v>
      </c>
      <c r="D11" s="9" t="s">
        <v>37</v>
      </c>
      <c r="E11" s="6" t="s">
        <v>38</v>
      </c>
      <c r="F11" s="10" t="s">
        <v>20</v>
      </c>
    </row>
    <row r="12" customFormat="false" ht="15" hidden="false" customHeight="false" outlineLevel="0" collapsed="false">
      <c r="A12" s="6" t="s">
        <v>39</v>
      </c>
      <c r="B12" s="7" t="s">
        <v>40</v>
      </c>
      <c r="C12" s="13" t="s">
        <v>41</v>
      </c>
      <c r="D12" s="9" t="s">
        <v>42</v>
      </c>
      <c r="E12" s="6" t="s">
        <v>43</v>
      </c>
      <c r="F12" s="10" t="s">
        <v>44</v>
      </c>
    </row>
    <row r="13" customFormat="false" ht="15" hidden="false" customHeight="false" outlineLevel="0" collapsed="false">
      <c r="A13" s="6" t="s">
        <v>45</v>
      </c>
      <c r="B13" s="7" t="s">
        <v>46</v>
      </c>
      <c r="C13" s="13" t="s">
        <v>41</v>
      </c>
      <c r="D13" s="9" t="s">
        <v>47</v>
      </c>
      <c r="E13" s="6" t="s">
        <v>48</v>
      </c>
      <c r="F13" s="10" t="s">
        <v>49</v>
      </c>
    </row>
    <row r="14" customFormat="false" ht="15" hidden="false" customHeight="false" outlineLevel="0" collapsed="false">
      <c r="A14" s="6" t="s">
        <v>50</v>
      </c>
      <c r="B14" s="7" t="s">
        <v>51</v>
      </c>
      <c r="C14" s="14" t="s">
        <v>52</v>
      </c>
      <c r="D14" s="9" t="s">
        <v>53</v>
      </c>
      <c r="E14" s="6" t="s">
        <v>54</v>
      </c>
      <c r="F14" s="10" t="s">
        <v>55</v>
      </c>
    </row>
    <row r="15" customFormat="false" ht="15" hidden="false" customHeight="false" outlineLevel="0" collapsed="false">
      <c r="A15" s="6" t="s">
        <v>56</v>
      </c>
      <c r="B15" s="7" t="s">
        <v>57</v>
      </c>
      <c r="C15" s="14" t="s">
        <v>52</v>
      </c>
      <c r="D15" s="9" t="s">
        <v>58</v>
      </c>
      <c r="E15" s="6" t="s">
        <v>59</v>
      </c>
      <c r="F15" s="10" t="s">
        <v>55</v>
      </c>
    </row>
    <row r="16" customFormat="false" ht="15" hidden="false" customHeight="false" outlineLevel="0" collapsed="false">
      <c r="A16" s="6" t="s">
        <v>60</v>
      </c>
      <c r="B16" s="7" t="s">
        <v>61</v>
      </c>
      <c r="C16" s="14" t="s">
        <v>52</v>
      </c>
      <c r="D16" s="15" t="s">
        <v>62</v>
      </c>
      <c r="E16" s="6" t="s">
        <v>63</v>
      </c>
      <c r="F16" s="10" t="s">
        <v>55</v>
      </c>
    </row>
    <row r="17" customFormat="false" ht="15" hidden="false" customHeight="false" outlineLevel="0" collapsed="false">
      <c r="A17" s="6" t="s">
        <v>64</v>
      </c>
      <c r="B17" s="7" t="s">
        <v>65</v>
      </c>
      <c r="C17" s="16" t="s">
        <v>66</v>
      </c>
      <c r="D17" s="9" t="s">
        <v>67</v>
      </c>
      <c r="E17" s="6" t="s">
        <v>68</v>
      </c>
      <c r="F17" s="10" t="s">
        <v>69</v>
      </c>
    </row>
    <row r="18" customFormat="false" ht="15" hidden="false" customHeight="false" outlineLevel="0" collapsed="false">
      <c r="A18" s="6" t="s">
        <v>70</v>
      </c>
      <c r="B18" s="7" t="s">
        <v>71</v>
      </c>
      <c r="C18" s="16" t="s">
        <v>66</v>
      </c>
      <c r="D18" s="9" t="s">
        <v>72</v>
      </c>
      <c r="E18" s="6" t="s">
        <v>73</v>
      </c>
      <c r="F18" s="10" t="s">
        <v>69</v>
      </c>
    </row>
    <row r="19" customFormat="false" ht="15" hidden="false" customHeight="false" outlineLevel="0" collapsed="false">
      <c r="A19" s="6" t="s">
        <v>74</v>
      </c>
      <c r="B19" s="7" t="s">
        <v>75</v>
      </c>
      <c r="C19" s="17" t="s">
        <v>76</v>
      </c>
      <c r="D19" s="9" t="s">
        <v>77</v>
      </c>
      <c r="E19" s="6" t="s">
        <v>78</v>
      </c>
      <c r="F19" s="10" t="s">
        <v>20</v>
      </c>
    </row>
    <row r="20" customFormat="false" ht="15" hidden="false" customHeight="false" outlineLevel="0" collapsed="false">
      <c r="A20" s="6" t="s">
        <v>79</v>
      </c>
      <c r="B20" s="7" t="s">
        <v>80</v>
      </c>
      <c r="C20" s="17" t="s">
        <v>76</v>
      </c>
      <c r="D20" s="9" t="s">
        <v>81</v>
      </c>
      <c r="E20" s="6" t="s">
        <v>82</v>
      </c>
      <c r="F20" s="10" t="s">
        <v>83</v>
      </c>
    </row>
    <row r="21" customFormat="false" ht="15" hidden="false" customHeight="false" outlineLevel="0" collapsed="false">
      <c r="A21" s="6" t="s">
        <v>84</v>
      </c>
      <c r="B21" s="7" t="s">
        <v>85</v>
      </c>
      <c r="C21" s="17" t="s">
        <v>76</v>
      </c>
      <c r="D21" s="9" t="s">
        <v>86</v>
      </c>
      <c r="E21" s="6" t="s">
        <v>87</v>
      </c>
      <c r="F21" s="10" t="s">
        <v>83</v>
      </c>
    </row>
    <row r="22" customFormat="false" ht="15" hidden="false" customHeight="false" outlineLevel="0" collapsed="false">
      <c r="A22" s="6" t="s">
        <v>88</v>
      </c>
      <c r="B22" s="7" t="s">
        <v>89</v>
      </c>
      <c r="C22" s="17" t="s">
        <v>76</v>
      </c>
      <c r="D22" s="9" t="s">
        <v>90</v>
      </c>
      <c r="E22" s="10" t="s">
        <v>91</v>
      </c>
      <c r="F22" s="10" t="s">
        <v>92</v>
      </c>
    </row>
    <row r="23" customFormat="false" ht="15" hidden="false" customHeight="false" outlineLevel="0" collapsed="false">
      <c r="A23" s="6" t="s">
        <v>93</v>
      </c>
      <c r="B23" s="7" t="s">
        <v>94</v>
      </c>
      <c r="C23" s="17" t="s">
        <v>76</v>
      </c>
      <c r="D23" s="9" t="s">
        <v>95</v>
      </c>
      <c r="E23" s="10" t="s">
        <v>96</v>
      </c>
      <c r="F23" s="10" t="s">
        <v>83</v>
      </c>
    </row>
    <row r="24" customFormat="false" ht="15" hidden="false" customHeight="false" outlineLevel="0" collapsed="false">
      <c r="A24" s="6" t="s">
        <v>97</v>
      </c>
      <c r="B24" s="7" t="s">
        <v>98</v>
      </c>
      <c r="C24" s="16" t="s">
        <v>66</v>
      </c>
      <c r="D24" s="9" t="s">
        <v>99</v>
      </c>
      <c r="E24" s="10" t="s">
        <v>96</v>
      </c>
      <c r="F24" s="10" t="s">
        <v>69</v>
      </c>
    </row>
    <row r="25" customFormat="false" ht="15" hidden="false" customHeight="false" outlineLevel="0" collapsed="false">
      <c r="A25" s="6" t="s">
        <v>100</v>
      </c>
      <c r="B25" s="7" t="s">
        <v>101</v>
      </c>
      <c r="C25" s="18" t="s">
        <v>102</v>
      </c>
      <c r="D25" s="9" t="s">
        <v>103</v>
      </c>
      <c r="E25" s="6" t="s">
        <v>104</v>
      </c>
      <c r="F25" s="10" t="s">
        <v>83</v>
      </c>
    </row>
    <row r="28" customFormat="false" ht="15" hidden="false" customHeight="false" outlineLevel="0" collapsed="false">
      <c r="A28" s="4" t="s">
        <v>105</v>
      </c>
    </row>
    <row r="29" customFormat="false" ht="15" hidden="false" customHeight="false" outlineLevel="0" collapsed="false">
      <c r="A29" s="19" t="s">
        <v>106</v>
      </c>
      <c r="B29" s="19"/>
      <c r="C29" s="19"/>
      <c r="D29" s="19"/>
      <c r="E29" s="19"/>
      <c r="F29" s="19"/>
    </row>
    <row r="30" customFormat="false" ht="15" hidden="false" customHeight="false" outlineLevel="0" collapsed="false">
      <c r="A30" s="19" t="s">
        <v>107</v>
      </c>
      <c r="B30" s="19"/>
      <c r="C30" s="19"/>
      <c r="D30" s="19"/>
      <c r="E30" s="19"/>
      <c r="F30" s="19"/>
    </row>
    <row r="31" customFormat="false" ht="15" hidden="false" customHeight="false" outlineLevel="0" collapsed="false">
      <c r="A31" s="19" t="s">
        <v>108</v>
      </c>
      <c r="B31" s="19"/>
      <c r="C31" s="19"/>
      <c r="D31" s="19"/>
      <c r="E31" s="19"/>
      <c r="F31" s="19"/>
    </row>
    <row r="32" customFormat="false" ht="15" hidden="false" customHeight="false" outlineLevel="0" collapsed="false">
      <c r="A32" s="19" t="s">
        <v>109</v>
      </c>
      <c r="B32" s="19"/>
      <c r="C32" s="19"/>
      <c r="D32" s="19"/>
      <c r="E32" s="19"/>
      <c r="F32" s="19"/>
    </row>
    <row r="33" customFormat="false" ht="15" hidden="false" customHeight="false" outlineLevel="0" collapsed="false">
      <c r="A33" s="19" t="s">
        <v>110</v>
      </c>
      <c r="B33" s="19"/>
      <c r="C33" s="19"/>
      <c r="D33" s="19"/>
      <c r="E33" s="19"/>
      <c r="F33" s="19"/>
    </row>
    <row r="34" customFormat="false" ht="15" hidden="false" customHeight="false" outlineLevel="0" collapsed="false">
      <c r="A34" s="19" t="s">
        <v>111</v>
      </c>
      <c r="B34" s="19"/>
      <c r="C34" s="19"/>
      <c r="D34" s="19"/>
      <c r="E34" s="19"/>
      <c r="F34" s="19"/>
    </row>
    <row r="35" customFormat="false" ht="15" hidden="false" customHeight="false" outlineLevel="0" collapsed="false">
      <c r="A35" s="19" t="s">
        <v>112</v>
      </c>
      <c r="B35" s="19"/>
      <c r="C35" s="19"/>
      <c r="D35" s="19"/>
      <c r="E35" s="19"/>
      <c r="F35" s="19"/>
    </row>
  </sheetData>
  <mergeCells count="9">
    <mergeCell ref="A1:F1"/>
    <mergeCell ref="A2:F2"/>
    <mergeCell ref="A29:F29"/>
    <mergeCell ref="A30:F30"/>
    <mergeCell ref="A31:F31"/>
    <mergeCell ref="A32:F32"/>
    <mergeCell ref="A33:F33"/>
    <mergeCell ref="A34:F34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44"/>
  </cols>
  <sheetData>
    <row r="1" customFormat="false" ht="23.85" hidden="false" customHeight="true" outlineLevel="0" collapsed="false">
      <c r="A1" s="2" t="s">
        <v>113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114</v>
      </c>
      <c r="B2" s="3"/>
      <c r="C2" s="3"/>
      <c r="D2" s="3"/>
      <c r="E2" s="3"/>
      <c r="F2" s="3"/>
      <c r="G2" s="3"/>
      <c r="H2" s="3"/>
    </row>
    <row r="4" customFormat="false" ht="19.4" hidden="false" customHeight="false" outlineLevel="0" collapsed="false">
      <c r="A4" s="20" t="s">
        <v>115</v>
      </c>
      <c r="B4" s="20"/>
      <c r="C4" s="20"/>
      <c r="D4" s="20"/>
    </row>
    <row r="5" customFormat="false" ht="15" hidden="false" customHeight="false" outlineLevel="0" collapsed="false">
      <c r="A5" s="21" t="s">
        <v>116</v>
      </c>
      <c r="B5" s="21" t="s">
        <v>117</v>
      </c>
      <c r="C5" s="21" t="s">
        <v>118</v>
      </c>
      <c r="D5" s="21" t="s">
        <v>119</v>
      </c>
    </row>
    <row r="6" customFormat="false" ht="15" hidden="false" customHeight="false" outlineLevel="0" collapsed="false">
      <c r="A6" s="22" t="s">
        <v>120</v>
      </c>
      <c r="B6" s="22" t="s">
        <v>121</v>
      </c>
      <c r="C6" s="23" t="s">
        <v>122</v>
      </c>
      <c r="D6" s="9" t="s">
        <v>123</v>
      </c>
    </row>
    <row r="7" customFormat="false" ht="15" hidden="false" customHeight="false" outlineLevel="0" collapsed="false">
      <c r="A7" s="22" t="s">
        <v>124</v>
      </c>
      <c r="B7" s="22" t="s">
        <v>121</v>
      </c>
      <c r="C7" s="24" t="s">
        <v>125</v>
      </c>
      <c r="D7" s="9" t="s">
        <v>126</v>
      </c>
    </row>
    <row r="8" customFormat="false" ht="15" hidden="false" customHeight="false" outlineLevel="0" collapsed="false">
      <c r="A8" s="22" t="s">
        <v>127</v>
      </c>
      <c r="B8" s="22" t="s">
        <v>121</v>
      </c>
      <c r="C8" s="25" t="s">
        <v>128</v>
      </c>
      <c r="D8" s="9" t="s">
        <v>129</v>
      </c>
    </row>
    <row r="9" customFormat="false" ht="15" hidden="false" customHeight="false" outlineLevel="0" collapsed="false">
      <c r="A9" s="22" t="s">
        <v>130</v>
      </c>
      <c r="B9" s="22" t="s">
        <v>121</v>
      </c>
      <c r="C9" s="25" t="s">
        <v>131</v>
      </c>
      <c r="D9" s="9" t="s">
        <v>132</v>
      </c>
    </row>
    <row r="10" customFormat="false" ht="15" hidden="false" customHeight="false" outlineLevel="0" collapsed="false">
      <c r="A10" s="22" t="s">
        <v>133</v>
      </c>
      <c r="B10" s="22" t="s">
        <v>134</v>
      </c>
      <c r="C10" s="24"/>
      <c r="D10" s="9" t="s">
        <v>135</v>
      </c>
    </row>
    <row r="11" customFormat="false" ht="15" hidden="false" customHeight="false" outlineLevel="0" collapsed="false">
      <c r="A11" s="22" t="s">
        <v>136</v>
      </c>
      <c r="B11" s="22" t="s">
        <v>137</v>
      </c>
      <c r="C11" s="24" t="s">
        <v>125</v>
      </c>
      <c r="D11" s="9" t="s">
        <v>138</v>
      </c>
    </row>
    <row r="12" customFormat="false" ht="15" hidden="false" customHeight="false" outlineLevel="0" collapsed="false">
      <c r="A12" s="22" t="s">
        <v>139</v>
      </c>
      <c r="B12" s="22" t="s">
        <v>137</v>
      </c>
      <c r="C12" s="24" t="s">
        <v>125</v>
      </c>
      <c r="D12" s="9" t="s">
        <v>140</v>
      </c>
    </row>
    <row r="13" customFormat="false" ht="15" hidden="false" customHeight="false" outlineLevel="0" collapsed="false">
      <c r="A13" s="22" t="s">
        <v>141</v>
      </c>
      <c r="B13" s="22" t="s">
        <v>142</v>
      </c>
      <c r="C13" s="24" t="s">
        <v>125</v>
      </c>
      <c r="D13" s="9" t="s">
        <v>143</v>
      </c>
    </row>
    <row r="15" customFormat="false" ht="19.4" hidden="false" customHeight="false" outlineLevel="0" collapsed="false">
      <c r="A15" s="20" t="s">
        <v>144</v>
      </c>
      <c r="B15" s="20"/>
      <c r="C15" s="20"/>
      <c r="D15" s="20"/>
    </row>
    <row r="16" customFormat="false" ht="15" hidden="false" customHeight="false" outlineLevel="0" collapsed="false">
      <c r="A16" s="21" t="s">
        <v>116</v>
      </c>
      <c r="B16" s="21" t="s">
        <v>117</v>
      </c>
      <c r="C16" s="21" t="s">
        <v>118</v>
      </c>
      <c r="D16" s="21" t="s">
        <v>119</v>
      </c>
    </row>
    <row r="17" customFormat="false" ht="15" hidden="false" customHeight="false" outlineLevel="0" collapsed="false">
      <c r="A17" s="22" t="s">
        <v>145</v>
      </c>
      <c r="B17" s="22" t="s">
        <v>137</v>
      </c>
      <c r="C17" s="23" t="s">
        <v>146</v>
      </c>
      <c r="D17" s="9" t="s">
        <v>147</v>
      </c>
    </row>
    <row r="18" customFormat="false" ht="15" hidden="false" customHeight="false" outlineLevel="0" collapsed="false">
      <c r="A18" s="22" t="s">
        <v>120</v>
      </c>
      <c r="B18" s="22" t="s">
        <v>121</v>
      </c>
      <c r="C18" s="26" t="s">
        <v>148</v>
      </c>
      <c r="D18" s="9" t="s">
        <v>149</v>
      </c>
    </row>
    <row r="19" customFormat="false" ht="15" hidden="false" customHeight="false" outlineLevel="0" collapsed="false">
      <c r="A19" s="22" t="s">
        <v>150</v>
      </c>
      <c r="B19" s="22" t="s">
        <v>134</v>
      </c>
      <c r="C19" s="25" t="s">
        <v>128</v>
      </c>
      <c r="D19" s="9" t="s">
        <v>151</v>
      </c>
    </row>
    <row r="20" customFormat="false" ht="15" hidden="false" customHeight="false" outlineLevel="0" collapsed="false">
      <c r="A20" s="22" t="s">
        <v>152</v>
      </c>
      <c r="B20" s="22" t="s">
        <v>153</v>
      </c>
      <c r="C20" s="24" t="s">
        <v>125</v>
      </c>
      <c r="D20" s="9" t="s">
        <v>154</v>
      </c>
    </row>
    <row r="21" customFormat="false" ht="15" hidden="false" customHeight="false" outlineLevel="0" collapsed="false">
      <c r="A21" s="22" t="s">
        <v>155</v>
      </c>
      <c r="B21" s="22" t="s">
        <v>153</v>
      </c>
      <c r="C21" s="24" t="s">
        <v>125</v>
      </c>
      <c r="D21" s="9" t="s">
        <v>156</v>
      </c>
    </row>
    <row r="22" customFormat="false" ht="15" hidden="false" customHeight="false" outlineLevel="0" collapsed="false">
      <c r="A22" s="22" t="s">
        <v>157</v>
      </c>
      <c r="B22" s="22" t="s">
        <v>153</v>
      </c>
      <c r="C22" s="24" t="s">
        <v>125</v>
      </c>
      <c r="D22" s="9" t="s">
        <v>158</v>
      </c>
    </row>
    <row r="23" customFormat="false" ht="15" hidden="false" customHeight="false" outlineLevel="0" collapsed="false">
      <c r="A23" s="22" t="s">
        <v>159</v>
      </c>
      <c r="B23" s="22" t="s">
        <v>153</v>
      </c>
      <c r="C23" s="24" t="s">
        <v>125</v>
      </c>
      <c r="D23" s="9" t="s">
        <v>160</v>
      </c>
    </row>
    <row r="24" customFormat="false" ht="15" hidden="false" customHeight="false" outlineLevel="0" collapsed="false">
      <c r="A24" s="22" t="s">
        <v>161</v>
      </c>
      <c r="B24" s="22" t="s">
        <v>137</v>
      </c>
      <c r="C24" s="24" t="s">
        <v>125</v>
      </c>
      <c r="D24" s="9" t="s">
        <v>162</v>
      </c>
    </row>
    <row r="25" customFormat="false" ht="15" hidden="false" customHeight="false" outlineLevel="0" collapsed="false">
      <c r="A25" s="22" t="s">
        <v>163</v>
      </c>
      <c r="B25" s="22" t="s">
        <v>137</v>
      </c>
      <c r="C25" s="24" t="s">
        <v>125</v>
      </c>
      <c r="D25" s="9" t="s">
        <v>164</v>
      </c>
    </row>
    <row r="26" customFormat="false" ht="15" hidden="false" customHeight="false" outlineLevel="0" collapsed="false">
      <c r="A26" s="22" t="s">
        <v>165</v>
      </c>
      <c r="B26" s="22" t="s">
        <v>153</v>
      </c>
      <c r="C26" s="24"/>
      <c r="D26" s="9" t="s">
        <v>166</v>
      </c>
    </row>
    <row r="27" customFormat="false" ht="15" hidden="false" customHeight="false" outlineLevel="0" collapsed="false">
      <c r="A27" s="22" t="s">
        <v>167</v>
      </c>
      <c r="B27" s="22"/>
      <c r="C27" s="24"/>
      <c r="D27" s="9" t="s">
        <v>168</v>
      </c>
    </row>
    <row r="29" customFormat="false" ht="19.4" hidden="false" customHeight="false" outlineLevel="0" collapsed="false">
      <c r="A29" s="20" t="s">
        <v>169</v>
      </c>
      <c r="B29" s="20"/>
      <c r="C29" s="20"/>
      <c r="D29" s="20"/>
    </row>
    <row r="30" customFormat="false" ht="15" hidden="false" customHeight="false" outlineLevel="0" collapsed="false">
      <c r="A30" s="21" t="s">
        <v>116</v>
      </c>
      <c r="B30" s="21" t="s">
        <v>117</v>
      </c>
      <c r="C30" s="21" t="s">
        <v>118</v>
      </c>
      <c r="D30" s="21" t="s">
        <v>119</v>
      </c>
    </row>
    <row r="31" customFormat="false" ht="15" hidden="false" customHeight="false" outlineLevel="0" collapsed="false">
      <c r="A31" s="22" t="s">
        <v>145</v>
      </c>
      <c r="B31" s="22" t="s">
        <v>137</v>
      </c>
      <c r="C31" s="23" t="s">
        <v>146</v>
      </c>
      <c r="D31" s="9" t="s">
        <v>147</v>
      </c>
    </row>
    <row r="32" customFormat="false" ht="15" hidden="false" customHeight="false" outlineLevel="0" collapsed="false">
      <c r="A32" s="22" t="s">
        <v>120</v>
      </c>
      <c r="B32" s="22" t="s">
        <v>121</v>
      </c>
      <c r="C32" s="26" t="s">
        <v>148</v>
      </c>
      <c r="D32" s="9" t="s">
        <v>149</v>
      </c>
    </row>
    <row r="33" customFormat="false" ht="15" hidden="false" customHeight="false" outlineLevel="0" collapsed="false">
      <c r="A33" s="22" t="s">
        <v>150</v>
      </c>
      <c r="B33" s="22" t="s">
        <v>134</v>
      </c>
      <c r="C33" s="25" t="s">
        <v>128</v>
      </c>
      <c r="D33" s="9" t="s">
        <v>151</v>
      </c>
    </row>
    <row r="34" customFormat="false" ht="15" hidden="false" customHeight="false" outlineLevel="0" collapsed="false">
      <c r="A34" s="22" t="s">
        <v>170</v>
      </c>
      <c r="B34" s="22" t="s">
        <v>137</v>
      </c>
      <c r="C34" s="24"/>
      <c r="D34" s="9" t="s">
        <v>171</v>
      </c>
    </row>
    <row r="35" customFormat="false" ht="15" hidden="false" customHeight="false" outlineLevel="0" collapsed="false">
      <c r="A35" s="22" t="s">
        <v>172</v>
      </c>
      <c r="B35" s="22" t="s">
        <v>137</v>
      </c>
      <c r="C35" s="24"/>
      <c r="D35" s="9" t="s">
        <v>173</v>
      </c>
    </row>
    <row r="36" customFormat="false" ht="15" hidden="false" customHeight="false" outlineLevel="0" collapsed="false">
      <c r="A36" s="22" t="s">
        <v>174</v>
      </c>
      <c r="B36" s="22" t="s">
        <v>137</v>
      </c>
      <c r="C36" s="24" t="s">
        <v>125</v>
      </c>
      <c r="D36" s="9" t="s">
        <v>175</v>
      </c>
    </row>
    <row r="37" customFormat="false" ht="15" hidden="false" customHeight="false" outlineLevel="0" collapsed="false">
      <c r="A37" s="22" t="s">
        <v>176</v>
      </c>
      <c r="B37" s="22" t="s">
        <v>137</v>
      </c>
      <c r="C37" s="24" t="s">
        <v>125</v>
      </c>
      <c r="D37" s="9" t="s">
        <v>177</v>
      </c>
    </row>
    <row r="38" customFormat="false" ht="15" hidden="false" customHeight="false" outlineLevel="0" collapsed="false">
      <c r="A38" s="22" t="s">
        <v>178</v>
      </c>
      <c r="B38" s="22" t="s">
        <v>137</v>
      </c>
      <c r="C38" s="24" t="s">
        <v>125</v>
      </c>
      <c r="D38" s="9" t="s">
        <v>179</v>
      </c>
    </row>
    <row r="39" customFormat="false" ht="15" hidden="false" customHeight="false" outlineLevel="0" collapsed="false">
      <c r="A39" s="22" t="s">
        <v>180</v>
      </c>
      <c r="B39" s="22" t="s">
        <v>137</v>
      </c>
      <c r="C39" s="24" t="s">
        <v>125</v>
      </c>
      <c r="D39" s="9" t="s">
        <v>181</v>
      </c>
    </row>
    <row r="40" customFormat="false" ht="15" hidden="false" customHeight="false" outlineLevel="0" collapsed="false">
      <c r="A40" s="22" t="s">
        <v>167</v>
      </c>
      <c r="B40" s="22"/>
      <c r="C40" s="24"/>
      <c r="D40" s="9" t="s">
        <v>168</v>
      </c>
    </row>
    <row r="42" customFormat="false" ht="19.4" hidden="false" customHeight="false" outlineLevel="0" collapsed="false">
      <c r="A42" s="20" t="s">
        <v>182</v>
      </c>
      <c r="B42" s="20"/>
      <c r="C42" s="20"/>
      <c r="D42" s="20"/>
    </row>
    <row r="43" customFormat="false" ht="15" hidden="false" customHeight="false" outlineLevel="0" collapsed="false">
      <c r="A43" s="21" t="s">
        <v>116</v>
      </c>
      <c r="B43" s="21" t="s">
        <v>117</v>
      </c>
      <c r="C43" s="21" t="s">
        <v>118</v>
      </c>
      <c r="D43" s="21" t="s">
        <v>119</v>
      </c>
    </row>
    <row r="44" customFormat="false" ht="15" hidden="false" customHeight="false" outlineLevel="0" collapsed="false">
      <c r="A44" s="22" t="s">
        <v>145</v>
      </c>
      <c r="B44" s="22" t="s">
        <v>137</v>
      </c>
      <c r="C44" s="23" t="s">
        <v>146</v>
      </c>
      <c r="D44" s="9" t="s">
        <v>147</v>
      </c>
    </row>
    <row r="45" customFormat="false" ht="15" hidden="false" customHeight="false" outlineLevel="0" collapsed="false">
      <c r="A45" s="22" t="s">
        <v>120</v>
      </c>
      <c r="B45" s="22" t="s">
        <v>121</v>
      </c>
      <c r="C45" s="26" t="s">
        <v>148</v>
      </c>
      <c r="D45" s="9" t="s">
        <v>149</v>
      </c>
    </row>
    <row r="46" customFormat="false" ht="15" hidden="false" customHeight="false" outlineLevel="0" collapsed="false">
      <c r="A46" s="22" t="s">
        <v>150</v>
      </c>
      <c r="B46" s="22" t="s">
        <v>134</v>
      </c>
      <c r="C46" s="25" t="s">
        <v>128</v>
      </c>
      <c r="D46" s="9" t="s">
        <v>151</v>
      </c>
    </row>
    <row r="47" customFormat="false" ht="15" hidden="false" customHeight="false" outlineLevel="0" collapsed="false">
      <c r="A47" s="22" t="s">
        <v>28</v>
      </c>
      <c r="B47" s="22" t="s">
        <v>137</v>
      </c>
      <c r="C47" s="24" t="s">
        <v>125</v>
      </c>
      <c r="D47" s="9" t="s">
        <v>183</v>
      </c>
    </row>
    <row r="48" customFormat="false" ht="15" hidden="false" customHeight="false" outlineLevel="0" collapsed="false">
      <c r="A48" s="22" t="s">
        <v>184</v>
      </c>
      <c r="B48" s="22" t="s">
        <v>137</v>
      </c>
      <c r="C48" s="24"/>
      <c r="D48" s="9" t="s">
        <v>185</v>
      </c>
    </row>
    <row r="49" customFormat="false" ht="15" hidden="false" customHeight="false" outlineLevel="0" collapsed="false">
      <c r="A49" s="22" t="s">
        <v>186</v>
      </c>
      <c r="B49" s="22" t="s">
        <v>137</v>
      </c>
      <c r="C49" s="24" t="s">
        <v>125</v>
      </c>
      <c r="D49" s="9" t="s">
        <v>187</v>
      </c>
    </row>
    <row r="50" customFormat="false" ht="15" hidden="false" customHeight="false" outlineLevel="0" collapsed="false">
      <c r="A50" s="22" t="s">
        <v>188</v>
      </c>
      <c r="B50" s="22" t="s">
        <v>137</v>
      </c>
      <c r="C50" s="24"/>
      <c r="D50" s="9" t="s">
        <v>189</v>
      </c>
    </row>
    <row r="51" customFormat="false" ht="15" hidden="false" customHeight="false" outlineLevel="0" collapsed="false">
      <c r="A51" s="22" t="s">
        <v>190</v>
      </c>
      <c r="B51" s="22" t="s">
        <v>153</v>
      </c>
      <c r="C51" s="24"/>
      <c r="D51" s="9" t="s">
        <v>191</v>
      </c>
    </row>
    <row r="53" customFormat="false" ht="19.4" hidden="false" customHeight="false" outlineLevel="0" collapsed="false">
      <c r="A53" s="20" t="s">
        <v>192</v>
      </c>
      <c r="B53" s="20"/>
      <c r="C53" s="20"/>
      <c r="D53" s="20"/>
    </row>
    <row r="54" customFormat="false" ht="15" hidden="false" customHeight="false" outlineLevel="0" collapsed="false">
      <c r="A54" s="21" t="s">
        <v>116</v>
      </c>
      <c r="B54" s="21" t="s">
        <v>117</v>
      </c>
      <c r="C54" s="21" t="s">
        <v>118</v>
      </c>
      <c r="D54" s="21" t="s">
        <v>119</v>
      </c>
    </row>
    <row r="55" customFormat="false" ht="15" hidden="false" customHeight="false" outlineLevel="0" collapsed="false">
      <c r="A55" s="22" t="s">
        <v>145</v>
      </c>
      <c r="B55" s="22" t="s">
        <v>137</v>
      </c>
      <c r="C55" s="23" t="s">
        <v>146</v>
      </c>
      <c r="D55" s="9" t="s">
        <v>147</v>
      </c>
    </row>
    <row r="56" customFormat="false" ht="15" hidden="false" customHeight="false" outlineLevel="0" collapsed="false">
      <c r="A56" s="22" t="s">
        <v>120</v>
      </c>
      <c r="B56" s="22" t="s">
        <v>121</v>
      </c>
      <c r="C56" s="26" t="s">
        <v>148</v>
      </c>
      <c r="D56" s="9" t="s">
        <v>149</v>
      </c>
    </row>
    <row r="57" customFormat="false" ht="15" hidden="false" customHeight="false" outlineLevel="0" collapsed="false">
      <c r="A57" s="22" t="s">
        <v>193</v>
      </c>
      <c r="B57" s="22" t="s">
        <v>134</v>
      </c>
      <c r="C57" s="25" t="s">
        <v>128</v>
      </c>
      <c r="D57" s="9" t="s">
        <v>194</v>
      </c>
    </row>
    <row r="58" customFormat="false" ht="15" hidden="false" customHeight="false" outlineLevel="0" collapsed="false">
      <c r="A58" s="22" t="s">
        <v>195</v>
      </c>
      <c r="B58" s="22" t="s">
        <v>137</v>
      </c>
      <c r="C58" s="24"/>
      <c r="D58" s="9" t="s">
        <v>196</v>
      </c>
    </row>
    <row r="59" customFormat="false" ht="15" hidden="false" customHeight="false" outlineLevel="0" collapsed="false">
      <c r="A59" s="22" t="s">
        <v>197</v>
      </c>
      <c r="B59" s="22" t="s">
        <v>137</v>
      </c>
      <c r="C59" s="24"/>
      <c r="D59" s="9" t="s">
        <v>198</v>
      </c>
    </row>
    <row r="60" customFormat="false" ht="15" hidden="false" customHeight="false" outlineLevel="0" collapsed="false">
      <c r="A60" s="22" t="s">
        <v>199</v>
      </c>
      <c r="B60" s="22" t="s">
        <v>153</v>
      </c>
      <c r="C60" s="24"/>
      <c r="D60" s="15" t="s">
        <v>200</v>
      </c>
    </row>
    <row r="61" customFormat="false" ht="15" hidden="false" customHeight="false" outlineLevel="0" collapsed="false">
      <c r="A61" s="22" t="s">
        <v>201</v>
      </c>
      <c r="B61" s="22" t="s">
        <v>153</v>
      </c>
      <c r="C61" s="24"/>
      <c r="D61" s="9" t="s">
        <v>202</v>
      </c>
    </row>
    <row r="62" customFormat="false" ht="15" hidden="false" customHeight="false" outlineLevel="0" collapsed="false">
      <c r="A62" s="22" t="s">
        <v>203</v>
      </c>
      <c r="B62" s="22" t="s">
        <v>137</v>
      </c>
      <c r="C62" s="24"/>
      <c r="D62" s="9" t="s">
        <v>204</v>
      </c>
    </row>
    <row r="64" customFormat="false" ht="19.4" hidden="false" customHeight="false" outlineLevel="0" collapsed="false">
      <c r="A64" s="20" t="s">
        <v>205</v>
      </c>
      <c r="B64" s="20"/>
      <c r="C64" s="20"/>
      <c r="D64" s="20"/>
    </row>
    <row r="65" customFormat="false" ht="15" hidden="false" customHeight="false" outlineLevel="0" collapsed="false">
      <c r="A65" s="21" t="s">
        <v>116</v>
      </c>
      <c r="B65" s="21" t="s">
        <v>117</v>
      </c>
      <c r="C65" s="21" t="s">
        <v>118</v>
      </c>
      <c r="D65" s="21" t="s">
        <v>119</v>
      </c>
    </row>
    <row r="66" customFormat="false" ht="15" hidden="false" customHeight="false" outlineLevel="0" collapsed="false">
      <c r="A66" s="22" t="s">
        <v>145</v>
      </c>
      <c r="B66" s="22" t="s">
        <v>137</v>
      </c>
      <c r="C66" s="23" t="s">
        <v>146</v>
      </c>
      <c r="D66" s="9" t="s">
        <v>147</v>
      </c>
    </row>
    <row r="67" customFormat="false" ht="15" hidden="false" customHeight="false" outlineLevel="0" collapsed="false">
      <c r="A67" s="22" t="s">
        <v>120</v>
      </c>
      <c r="B67" s="22" t="s">
        <v>121</v>
      </c>
      <c r="C67" s="26" t="s">
        <v>148</v>
      </c>
      <c r="D67" s="9" t="s">
        <v>149</v>
      </c>
    </row>
    <row r="68" customFormat="false" ht="15" hidden="false" customHeight="false" outlineLevel="0" collapsed="false">
      <c r="A68" s="22" t="s">
        <v>150</v>
      </c>
      <c r="B68" s="22" t="s">
        <v>134</v>
      </c>
      <c r="C68" s="25" t="s">
        <v>128</v>
      </c>
      <c r="D68" s="9" t="s">
        <v>151</v>
      </c>
    </row>
    <row r="69" customFormat="false" ht="15" hidden="false" customHeight="false" outlineLevel="0" collapsed="false">
      <c r="A69" s="22" t="s">
        <v>206</v>
      </c>
      <c r="B69" s="22" t="s">
        <v>121</v>
      </c>
      <c r="C69" s="25" t="s">
        <v>128</v>
      </c>
      <c r="D69" s="9" t="s">
        <v>207</v>
      </c>
    </row>
    <row r="70" customFormat="false" ht="15" hidden="false" customHeight="false" outlineLevel="0" collapsed="false">
      <c r="A70" s="22" t="s">
        <v>208</v>
      </c>
      <c r="B70" s="22" t="s">
        <v>121</v>
      </c>
      <c r="C70" s="24"/>
      <c r="D70" s="9" t="s">
        <v>209</v>
      </c>
    </row>
    <row r="71" customFormat="false" ht="15" hidden="false" customHeight="false" outlineLevel="0" collapsed="false">
      <c r="A71" s="22" t="s">
        <v>210</v>
      </c>
      <c r="B71" s="22" t="s">
        <v>137</v>
      </c>
      <c r="C71" s="24" t="s">
        <v>125</v>
      </c>
      <c r="D71" s="9" t="s">
        <v>211</v>
      </c>
    </row>
    <row r="72" customFormat="false" ht="15" hidden="false" customHeight="false" outlineLevel="0" collapsed="false">
      <c r="A72" s="22" t="s">
        <v>212</v>
      </c>
      <c r="B72" s="22" t="s">
        <v>137</v>
      </c>
      <c r="C72" s="24" t="s">
        <v>125</v>
      </c>
      <c r="D72" s="9" t="s">
        <v>213</v>
      </c>
    </row>
    <row r="73" customFormat="false" ht="15" hidden="false" customHeight="false" outlineLevel="0" collapsed="false">
      <c r="A73" s="22" t="s">
        <v>214</v>
      </c>
      <c r="B73" s="22" t="s">
        <v>137</v>
      </c>
      <c r="C73" s="24" t="s">
        <v>125</v>
      </c>
      <c r="D73" s="9" t="s">
        <v>215</v>
      </c>
    </row>
    <row r="74" customFormat="false" ht="15" hidden="false" customHeight="false" outlineLevel="0" collapsed="false">
      <c r="A74" s="22" t="s">
        <v>216</v>
      </c>
      <c r="B74" s="22" t="s">
        <v>153</v>
      </c>
      <c r="C74" s="24"/>
      <c r="D74" s="9" t="s">
        <v>217</v>
      </c>
    </row>
    <row r="76" customFormat="false" ht="19.4" hidden="false" customHeight="false" outlineLevel="0" collapsed="false">
      <c r="A76" s="20" t="s">
        <v>218</v>
      </c>
      <c r="B76" s="20"/>
      <c r="C76" s="20"/>
      <c r="D76" s="20"/>
    </row>
    <row r="77" customFormat="false" ht="15" hidden="false" customHeight="false" outlineLevel="0" collapsed="false">
      <c r="A77" s="21" t="s">
        <v>116</v>
      </c>
      <c r="B77" s="21" t="s">
        <v>117</v>
      </c>
      <c r="C77" s="21" t="s">
        <v>118</v>
      </c>
      <c r="D77" s="21" t="s">
        <v>119</v>
      </c>
    </row>
    <row r="78" customFormat="false" ht="15" hidden="false" customHeight="false" outlineLevel="0" collapsed="false">
      <c r="A78" s="22" t="s">
        <v>145</v>
      </c>
      <c r="B78" s="22" t="s">
        <v>137</v>
      </c>
      <c r="C78" s="23" t="s">
        <v>146</v>
      </c>
      <c r="D78" s="9" t="s">
        <v>147</v>
      </c>
    </row>
    <row r="79" customFormat="false" ht="15" hidden="false" customHeight="false" outlineLevel="0" collapsed="false">
      <c r="A79" s="22" t="s">
        <v>120</v>
      </c>
      <c r="B79" s="22" t="s">
        <v>121</v>
      </c>
      <c r="C79" s="26" t="s">
        <v>148</v>
      </c>
      <c r="D79" s="9" t="s">
        <v>149</v>
      </c>
    </row>
    <row r="80" customFormat="false" ht="15" hidden="false" customHeight="false" outlineLevel="0" collapsed="false">
      <c r="A80" s="22" t="s">
        <v>219</v>
      </c>
      <c r="B80" s="22" t="s">
        <v>121</v>
      </c>
      <c r="C80" s="25" t="s">
        <v>128</v>
      </c>
      <c r="D80" s="9" t="s">
        <v>220</v>
      </c>
    </row>
    <row r="81" customFormat="false" ht="15" hidden="false" customHeight="false" outlineLevel="0" collapsed="false">
      <c r="A81" s="22" t="s">
        <v>221</v>
      </c>
      <c r="B81" s="22" t="s">
        <v>137</v>
      </c>
      <c r="C81" s="24" t="s">
        <v>125</v>
      </c>
      <c r="D81" s="9" t="s">
        <v>222</v>
      </c>
    </row>
    <row r="82" customFormat="false" ht="15" hidden="false" customHeight="false" outlineLevel="0" collapsed="false">
      <c r="A82" s="22" t="s">
        <v>223</v>
      </c>
      <c r="B82" s="22" t="s">
        <v>153</v>
      </c>
      <c r="C82" s="24"/>
      <c r="D82" s="9" t="s">
        <v>224</v>
      </c>
    </row>
    <row r="83" customFormat="false" ht="15" hidden="false" customHeight="false" outlineLevel="0" collapsed="false">
      <c r="A83" s="22" t="s">
        <v>225</v>
      </c>
      <c r="B83" s="22" t="s">
        <v>153</v>
      </c>
      <c r="C83" s="24"/>
      <c r="D83" s="9" t="s">
        <v>226</v>
      </c>
    </row>
    <row r="84" customFormat="false" ht="15" hidden="false" customHeight="false" outlineLevel="0" collapsed="false">
      <c r="A84" s="22" t="s">
        <v>227</v>
      </c>
      <c r="B84" s="22" t="s">
        <v>137</v>
      </c>
      <c r="C84" s="24"/>
      <c r="D84" s="9" t="s">
        <v>228</v>
      </c>
    </row>
    <row r="85" customFormat="false" ht="15" hidden="false" customHeight="false" outlineLevel="0" collapsed="false">
      <c r="A85" s="22" t="s">
        <v>229</v>
      </c>
      <c r="B85" s="22" t="s">
        <v>153</v>
      </c>
      <c r="C85" s="24"/>
      <c r="D85" s="9" t="s">
        <v>230</v>
      </c>
    </row>
    <row r="87" customFormat="false" ht="19.4" hidden="false" customHeight="false" outlineLevel="0" collapsed="false">
      <c r="A87" s="20" t="s">
        <v>231</v>
      </c>
      <c r="B87" s="20"/>
      <c r="C87" s="20"/>
      <c r="D87" s="20"/>
    </row>
    <row r="88" customFormat="false" ht="15" hidden="false" customHeight="false" outlineLevel="0" collapsed="false">
      <c r="A88" s="21" t="s">
        <v>116</v>
      </c>
      <c r="B88" s="21" t="s">
        <v>117</v>
      </c>
      <c r="C88" s="21" t="s">
        <v>118</v>
      </c>
      <c r="D88" s="21" t="s">
        <v>119</v>
      </c>
    </row>
    <row r="89" customFormat="false" ht="15" hidden="false" customHeight="false" outlineLevel="0" collapsed="false">
      <c r="A89" s="22" t="s">
        <v>145</v>
      </c>
      <c r="B89" s="22" t="s">
        <v>137</v>
      </c>
      <c r="C89" s="23" t="s">
        <v>146</v>
      </c>
      <c r="D89" s="9" t="s">
        <v>147</v>
      </c>
    </row>
    <row r="90" customFormat="false" ht="15" hidden="false" customHeight="false" outlineLevel="0" collapsed="false">
      <c r="A90" s="22" t="s">
        <v>120</v>
      </c>
      <c r="B90" s="22" t="s">
        <v>121</v>
      </c>
      <c r="C90" s="26" t="s">
        <v>148</v>
      </c>
      <c r="D90" s="9" t="s">
        <v>149</v>
      </c>
    </row>
    <row r="91" customFormat="false" ht="15" hidden="false" customHeight="false" outlineLevel="0" collapsed="false">
      <c r="A91" s="22" t="s">
        <v>232</v>
      </c>
      <c r="B91" s="22" t="s">
        <v>121</v>
      </c>
      <c r="C91" s="25" t="s">
        <v>128</v>
      </c>
      <c r="D91" s="9" t="s">
        <v>233</v>
      </c>
    </row>
    <row r="92" customFormat="false" ht="15" hidden="false" customHeight="false" outlineLevel="0" collapsed="false">
      <c r="A92" s="22" t="s">
        <v>221</v>
      </c>
      <c r="B92" s="22" t="s">
        <v>137</v>
      </c>
      <c r="C92" s="24"/>
      <c r="D92" s="9" t="s">
        <v>234</v>
      </c>
    </row>
    <row r="93" customFormat="false" ht="15" hidden="false" customHeight="false" outlineLevel="0" collapsed="false">
      <c r="A93" s="22" t="s">
        <v>235</v>
      </c>
      <c r="B93" s="22" t="s">
        <v>137</v>
      </c>
      <c r="C93" s="24"/>
      <c r="D93" s="9" t="s">
        <v>236</v>
      </c>
    </row>
    <row r="94" customFormat="false" ht="15" hidden="false" customHeight="false" outlineLevel="0" collapsed="false">
      <c r="A94" s="22" t="s">
        <v>237</v>
      </c>
      <c r="B94" s="22" t="s">
        <v>137</v>
      </c>
      <c r="C94" s="24"/>
      <c r="D94" s="9" t="s">
        <v>238</v>
      </c>
    </row>
    <row r="95" customFormat="false" ht="15" hidden="false" customHeight="false" outlineLevel="0" collapsed="false">
      <c r="A95" s="22" t="s">
        <v>239</v>
      </c>
      <c r="B95" s="22" t="s">
        <v>137</v>
      </c>
      <c r="C95" s="24"/>
      <c r="D95" s="9" t="s">
        <v>240</v>
      </c>
    </row>
    <row r="96" customFormat="false" ht="15" hidden="false" customHeight="false" outlineLevel="0" collapsed="false">
      <c r="A96" s="22" t="s">
        <v>241</v>
      </c>
      <c r="B96" s="22" t="s">
        <v>153</v>
      </c>
      <c r="C96" s="24"/>
      <c r="D96" s="9" t="s">
        <v>242</v>
      </c>
    </row>
    <row r="97" customFormat="false" ht="15" hidden="false" customHeight="false" outlineLevel="0" collapsed="false">
      <c r="A97" s="22" t="s">
        <v>243</v>
      </c>
      <c r="B97" s="22" t="s">
        <v>153</v>
      </c>
      <c r="C97" s="24"/>
      <c r="D97" s="15" t="s">
        <v>244</v>
      </c>
    </row>
    <row r="98" customFormat="false" ht="15" hidden="false" customHeight="false" outlineLevel="0" collapsed="false">
      <c r="A98" s="22" t="s">
        <v>245</v>
      </c>
      <c r="B98" s="22" t="s">
        <v>153</v>
      </c>
      <c r="C98" s="24"/>
      <c r="D98" s="15" t="s">
        <v>246</v>
      </c>
    </row>
    <row r="99" customFormat="false" ht="15" hidden="false" customHeight="false" outlineLevel="0" collapsed="false">
      <c r="A99" s="22" t="s">
        <v>247</v>
      </c>
      <c r="B99" s="22" t="s">
        <v>153</v>
      </c>
      <c r="C99" s="24"/>
      <c r="D99" s="9" t="s">
        <v>248</v>
      </c>
    </row>
    <row r="101" customFormat="false" ht="19.4" hidden="false" customHeight="false" outlineLevel="0" collapsed="false">
      <c r="A101" s="20" t="s">
        <v>249</v>
      </c>
      <c r="B101" s="20"/>
      <c r="C101" s="20"/>
      <c r="D101" s="20"/>
    </row>
    <row r="102" customFormat="false" ht="15" hidden="false" customHeight="false" outlineLevel="0" collapsed="false">
      <c r="A102" s="21" t="s">
        <v>116</v>
      </c>
      <c r="B102" s="21" t="s">
        <v>117</v>
      </c>
      <c r="C102" s="21" t="s">
        <v>118</v>
      </c>
      <c r="D102" s="21" t="s">
        <v>119</v>
      </c>
    </row>
    <row r="103" customFormat="false" ht="15" hidden="false" customHeight="false" outlineLevel="0" collapsed="false">
      <c r="A103" s="22" t="s">
        <v>145</v>
      </c>
      <c r="B103" s="22" t="s">
        <v>137</v>
      </c>
      <c r="C103" s="23" t="s">
        <v>146</v>
      </c>
      <c r="D103" s="9" t="s">
        <v>147</v>
      </c>
    </row>
    <row r="104" customFormat="false" ht="15" hidden="false" customHeight="false" outlineLevel="0" collapsed="false">
      <c r="A104" s="22" t="s">
        <v>150</v>
      </c>
      <c r="B104" s="22" t="s">
        <v>134</v>
      </c>
      <c r="C104" s="25" t="s">
        <v>128</v>
      </c>
      <c r="D104" s="9" t="s">
        <v>151</v>
      </c>
    </row>
    <row r="105" customFormat="false" ht="15" hidden="false" customHeight="false" outlineLevel="0" collapsed="false">
      <c r="A105" s="22" t="s">
        <v>250</v>
      </c>
      <c r="B105" s="22" t="s">
        <v>121</v>
      </c>
      <c r="C105" s="24" t="s">
        <v>125</v>
      </c>
      <c r="D105" s="9" t="s">
        <v>251</v>
      </c>
    </row>
    <row r="106" customFormat="false" ht="15" hidden="false" customHeight="false" outlineLevel="0" collapsed="false">
      <c r="A106" s="22" t="s">
        <v>152</v>
      </c>
      <c r="B106" s="22" t="s">
        <v>153</v>
      </c>
      <c r="C106" s="24" t="s">
        <v>125</v>
      </c>
      <c r="D106" s="9" t="s">
        <v>252</v>
      </c>
    </row>
    <row r="107" customFormat="false" ht="15" hidden="false" customHeight="false" outlineLevel="0" collapsed="false">
      <c r="A107" s="22" t="s">
        <v>155</v>
      </c>
      <c r="B107" s="22" t="s">
        <v>153</v>
      </c>
      <c r="C107" s="24" t="s">
        <v>125</v>
      </c>
      <c r="D107" s="9" t="s">
        <v>253</v>
      </c>
    </row>
    <row r="108" customFormat="false" ht="15" hidden="false" customHeight="false" outlineLevel="0" collapsed="false">
      <c r="A108" s="22" t="s">
        <v>157</v>
      </c>
      <c r="B108" s="22" t="s">
        <v>153</v>
      </c>
      <c r="C108" s="24" t="s">
        <v>125</v>
      </c>
      <c r="D108" s="9" t="s">
        <v>254</v>
      </c>
    </row>
    <row r="109" customFormat="false" ht="15" hidden="false" customHeight="false" outlineLevel="0" collapsed="false">
      <c r="A109" s="22" t="s">
        <v>159</v>
      </c>
      <c r="B109" s="22" t="s">
        <v>153</v>
      </c>
      <c r="C109" s="24" t="s">
        <v>125</v>
      </c>
      <c r="D109" s="9" t="s">
        <v>255</v>
      </c>
    </row>
    <row r="110" customFormat="false" ht="15" hidden="false" customHeight="false" outlineLevel="0" collapsed="false">
      <c r="A110" s="22" t="s">
        <v>161</v>
      </c>
      <c r="B110" s="22" t="s">
        <v>137</v>
      </c>
      <c r="C110" s="24" t="s">
        <v>125</v>
      </c>
      <c r="D110" s="9" t="s">
        <v>256</v>
      </c>
    </row>
    <row r="111" customFormat="false" ht="15" hidden="false" customHeight="false" outlineLevel="0" collapsed="false">
      <c r="A111" s="22" t="s">
        <v>257</v>
      </c>
      <c r="B111" s="22" t="s">
        <v>137</v>
      </c>
      <c r="C111" s="24" t="s">
        <v>125</v>
      </c>
      <c r="D111" s="9" t="s">
        <v>258</v>
      </c>
    </row>
    <row r="112" customFormat="false" ht="15" hidden="false" customHeight="false" outlineLevel="0" collapsed="false">
      <c r="A112" s="22" t="s">
        <v>259</v>
      </c>
      <c r="B112" s="22" t="s">
        <v>153</v>
      </c>
      <c r="C112" s="24"/>
      <c r="D112" s="9" t="s">
        <v>260</v>
      </c>
    </row>
    <row r="114" customFormat="false" ht="19.4" hidden="false" customHeight="false" outlineLevel="0" collapsed="false">
      <c r="A114" s="20" t="s">
        <v>261</v>
      </c>
      <c r="B114" s="20"/>
      <c r="C114" s="20"/>
      <c r="D114" s="20"/>
    </row>
    <row r="115" customFormat="false" ht="15" hidden="false" customHeight="false" outlineLevel="0" collapsed="false">
      <c r="A115" s="21" t="s">
        <v>116</v>
      </c>
      <c r="B115" s="21" t="s">
        <v>117</v>
      </c>
      <c r="C115" s="21" t="s">
        <v>118</v>
      </c>
      <c r="D115" s="21" t="s">
        <v>119</v>
      </c>
    </row>
    <row r="116" customFormat="false" ht="15" hidden="false" customHeight="false" outlineLevel="0" collapsed="false">
      <c r="A116" s="22" t="s">
        <v>145</v>
      </c>
      <c r="B116" s="22" t="s">
        <v>137</v>
      </c>
      <c r="C116" s="23" t="s">
        <v>146</v>
      </c>
      <c r="D116" s="9" t="s">
        <v>147</v>
      </c>
    </row>
    <row r="117" customFormat="false" ht="15" hidden="false" customHeight="false" outlineLevel="0" collapsed="false">
      <c r="A117" s="22" t="s">
        <v>150</v>
      </c>
      <c r="B117" s="22" t="s">
        <v>134</v>
      </c>
      <c r="C117" s="25" t="s">
        <v>128</v>
      </c>
      <c r="D117" s="9" t="s">
        <v>151</v>
      </c>
    </row>
    <row r="118" customFormat="false" ht="15" hidden="false" customHeight="false" outlineLevel="0" collapsed="false">
      <c r="A118" s="22" t="s">
        <v>262</v>
      </c>
      <c r="B118" s="22" t="s">
        <v>121</v>
      </c>
      <c r="C118" s="24" t="s">
        <v>125</v>
      </c>
      <c r="D118" s="9" t="s">
        <v>263</v>
      </c>
    </row>
    <row r="119" customFormat="false" ht="15" hidden="false" customHeight="false" outlineLevel="0" collapsed="false">
      <c r="A119" s="22" t="s">
        <v>264</v>
      </c>
      <c r="B119" s="22" t="s">
        <v>137</v>
      </c>
      <c r="C119" s="24"/>
      <c r="D119" s="9" t="s">
        <v>265</v>
      </c>
    </row>
    <row r="120" customFormat="false" ht="15" hidden="false" customHeight="false" outlineLevel="0" collapsed="false">
      <c r="A120" s="22" t="s">
        <v>266</v>
      </c>
      <c r="B120" s="22" t="s">
        <v>137</v>
      </c>
      <c r="C120" s="24"/>
      <c r="D120" s="9" t="s">
        <v>267</v>
      </c>
    </row>
    <row r="121" customFormat="false" ht="15" hidden="false" customHeight="false" outlineLevel="0" collapsed="false">
      <c r="A121" s="22" t="s">
        <v>268</v>
      </c>
      <c r="B121" s="22" t="s">
        <v>137</v>
      </c>
      <c r="C121" s="24" t="s">
        <v>125</v>
      </c>
      <c r="D121" s="9" t="s">
        <v>269</v>
      </c>
    </row>
    <row r="122" customFormat="false" ht="15" hidden="false" customHeight="false" outlineLevel="0" collapsed="false">
      <c r="A122" s="22" t="s">
        <v>270</v>
      </c>
      <c r="B122" s="22" t="s">
        <v>137</v>
      </c>
      <c r="C122" s="24"/>
      <c r="D122" s="9" t="s">
        <v>271</v>
      </c>
    </row>
    <row r="123" customFormat="false" ht="15" hidden="false" customHeight="false" outlineLevel="0" collapsed="false">
      <c r="A123" s="22" t="s">
        <v>272</v>
      </c>
      <c r="B123" s="22" t="s">
        <v>137</v>
      </c>
      <c r="C123" s="24"/>
      <c r="D123" s="9" t="s">
        <v>273</v>
      </c>
    </row>
    <row r="125" customFormat="false" ht="15" hidden="false" customHeight="false" outlineLevel="0" collapsed="false">
      <c r="A125" s="20" t="s">
        <v>274</v>
      </c>
      <c r="B125" s="20"/>
      <c r="C125" s="20"/>
      <c r="D125" s="20"/>
    </row>
    <row r="126" customFormat="false" ht="15" hidden="false" customHeight="false" outlineLevel="0" collapsed="false">
      <c r="A126" s="21" t="s">
        <v>116</v>
      </c>
      <c r="B126" s="21" t="s">
        <v>117</v>
      </c>
      <c r="C126" s="21" t="s">
        <v>118</v>
      </c>
      <c r="D126" s="21" t="s">
        <v>119</v>
      </c>
    </row>
    <row r="127" customFormat="false" ht="15" hidden="false" customHeight="false" outlineLevel="0" collapsed="false">
      <c r="A127" s="22" t="s">
        <v>150</v>
      </c>
      <c r="B127" s="22" t="s">
        <v>134</v>
      </c>
      <c r="C127" s="23" t="s">
        <v>122</v>
      </c>
      <c r="D127" s="9" t="s">
        <v>151</v>
      </c>
    </row>
    <row r="128" customFormat="false" ht="15" hidden="false" customHeight="false" outlineLevel="0" collapsed="false">
      <c r="A128" s="22" t="s">
        <v>275</v>
      </c>
      <c r="B128" s="22" t="s">
        <v>153</v>
      </c>
      <c r="C128" s="24" t="s">
        <v>125</v>
      </c>
      <c r="D128" s="15" t="s">
        <v>276</v>
      </c>
    </row>
    <row r="129" customFormat="false" ht="15" hidden="false" customHeight="false" outlineLevel="0" collapsed="false">
      <c r="A129" s="22" t="s">
        <v>277</v>
      </c>
      <c r="B129" s="22" t="s">
        <v>153</v>
      </c>
      <c r="C129" s="24" t="s">
        <v>125</v>
      </c>
      <c r="D129" s="15" t="s">
        <v>278</v>
      </c>
    </row>
    <row r="130" customFormat="false" ht="15" hidden="false" customHeight="false" outlineLevel="0" collapsed="false">
      <c r="A130" s="22" t="s">
        <v>279</v>
      </c>
      <c r="B130" s="22" t="s">
        <v>137</v>
      </c>
      <c r="C130" s="24"/>
      <c r="D130" s="15" t="s">
        <v>280</v>
      </c>
    </row>
    <row r="131" customFormat="false" ht="15" hidden="false" customHeight="false" outlineLevel="0" collapsed="false">
      <c r="A131" s="22" t="s">
        <v>281</v>
      </c>
      <c r="B131" s="22" t="s">
        <v>137</v>
      </c>
      <c r="C131" s="24"/>
      <c r="D131" s="15" t="s">
        <v>282</v>
      </c>
    </row>
    <row r="133" customFormat="false" ht="19.4" hidden="false" customHeight="false" outlineLevel="0" collapsed="false">
      <c r="A133" s="20" t="s">
        <v>283</v>
      </c>
      <c r="B133" s="20"/>
      <c r="C133" s="20"/>
      <c r="D133" s="20"/>
    </row>
    <row r="134" customFormat="false" ht="15" hidden="false" customHeight="false" outlineLevel="0" collapsed="false">
      <c r="A134" s="21" t="s">
        <v>116</v>
      </c>
      <c r="B134" s="21" t="s">
        <v>117</v>
      </c>
      <c r="C134" s="21" t="s">
        <v>118</v>
      </c>
      <c r="D134" s="21" t="s">
        <v>119</v>
      </c>
    </row>
    <row r="135" customFormat="false" ht="15" hidden="false" customHeight="false" outlineLevel="0" collapsed="false">
      <c r="A135" s="22" t="s">
        <v>284</v>
      </c>
      <c r="B135" s="22" t="s">
        <v>137</v>
      </c>
      <c r="C135" s="23" t="s">
        <v>285</v>
      </c>
      <c r="D135" s="9" t="s">
        <v>286</v>
      </c>
    </row>
    <row r="136" customFormat="false" ht="15" hidden="false" customHeight="false" outlineLevel="0" collapsed="false">
      <c r="A136" s="22" t="s">
        <v>287</v>
      </c>
      <c r="B136" s="22" t="s">
        <v>121</v>
      </c>
      <c r="C136" s="24" t="s">
        <v>125</v>
      </c>
      <c r="D136" s="9" t="s">
        <v>288</v>
      </c>
    </row>
    <row r="137" customFormat="false" ht="15" hidden="false" customHeight="false" outlineLevel="0" collapsed="false">
      <c r="A137" s="22" t="s">
        <v>262</v>
      </c>
      <c r="B137" s="22" t="s">
        <v>121</v>
      </c>
      <c r="C137" s="25" t="s">
        <v>128</v>
      </c>
      <c r="D137" s="9" t="s">
        <v>5</v>
      </c>
    </row>
    <row r="138" customFormat="false" ht="15" hidden="false" customHeight="false" outlineLevel="0" collapsed="false">
      <c r="A138" s="22" t="s">
        <v>289</v>
      </c>
      <c r="B138" s="22" t="s">
        <v>121</v>
      </c>
      <c r="C138" s="24" t="s">
        <v>125</v>
      </c>
      <c r="D138" s="9" t="s">
        <v>290</v>
      </c>
    </row>
    <row r="139" customFormat="false" ht="15" hidden="false" customHeight="false" outlineLevel="0" collapsed="false">
      <c r="A139" s="22" t="s">
        <v>291</v>
      </c>
      <c r="B139" s="22" t="s">
        <v>121</v>
      </c>
      <c r="C139" s="24"/>
      <c r="D139" s="9" t="s">
        <v>292</v>
      </c>
    </row>
    <row r="140" customFormat="false" ht="15" hidden="false" customHeight="false" outlineLevel="0" collapsed="false">
      <c r="A140" s="22" t="s">
        <v>293</v>
      </c>
      <c r="B140" s="22" t="s">
        <v>121</v>
      </c>
      <c r="C140" s="24"/>
      <c r="D140" s="9" t="s">
        <v>294</v>
      </c>
    </row>
    <row r="141" customFormat="false" ht="15" hidden="false" customHeight="false" outlineLevel="0" collapsed="false">
      <c r="A141" s="22" t="s">
        <v>295</v>
      </c>
      <c r="B141" s="22" t="s">
        <v>121</v>
      </c>
      <c r="C141" s="24"/>
      <c r="D141" s="9" t="s">
        <v>296</v>
      </c>
    </row>
    <row r="142" customFormat="false" ht="15" hidden="false" customHeight="false" outlineLevel="0" collapsed="false">
      <c r="A142" s="22" t="s">
        <v>297</v>
      </c>
      <c r="B142" s="22" t="s">
        <v>121</v>
      </c>
      <c r="C142" s="24"/>
      <c r="D142" s="9" t="s">
        <v>298</v>
      </c>
    </row>
    <row r="143" customFormat="false" ht="15" hidden="false" customHeight="false" outlineLevel="0" collapsed="false">
      <c r="A143" s="22" t="s">
        <v>299</v>
      </c>
      <c r="B143" s="22" t="s">
        <v>121</v>
      </c>
      <c r="C143" s="24"/>
      <c r="D143" s="9" t="s">
        <v>300</v>
      </c>
    </row>
    <row r="144" customFormat="false" ht="15" hidden="false" customHeight="false" outlineLevel="0" collapsed="false">
      <c r="A144" s="22" t="s">
        <v>301</v>
      </c>
      <c r="B144" s="22" t="s">
        <v>121</v>
      </c>
      <c r="C144" s="24"/>
      <c r="D144" s="9" t="s">
        <v>302</v>
      </c>
    </row>
    <row r="145" customFormat="false" ht="15" hidden="false" customHeight="false" outlineLevel="0" collapsed="false">
      <c r="A145" s="22" t="s">
        <v>303</v>
      </c>
      <c r="B145" s="22" t="s">
        <v>137</v>
      </c>
      <c r="C145" s="24" t="s">
        <v>125</v>
      </c>
      <c r="D145" s="9" t="s">
        <v>304</v>
      </c>
    </row>
    <row r="147" customFormat="false" ht="19.4" hidden="false" customHeight="false" outlineLevel="0" collapsed="false">
      <c r="A147" s="20" t="s">
        <v>305</v>
      </c>
      <c r="B147" s="20"/>
      <c r="C147" s="20"/>
      <c r="D147" s="20"/>
    </row>
    <row r="148" customFormat="false" ht="15" hidden="false" customHeight="false" outlineLevel="0" collapsed="false">
      <c r="A148" s="21" t="s">
        <v>116</v>
      </c>
      <c r="B148" s="21" t="s">
        <v>117</v>
      </c>
      <c r="C148" s="21" t="s">
        <v>118</v>
      </c>
      <c r="D148" s="21" t="s">
        <v>119</v>
      </c>
    </row>
    <row r="149" customFormat="false" ht="15" hidden="false" customHeight="false" outlineLevel="0" collapsed="false">
      <c r="A149" s="22" t="s">
        <v>306</v>
      </c>
      <c r="B149" s="22" t="s">
        <v>121</v>
      </c>
      <c r="C149" s="23" t="s">
        <v>285</v>
      </c>
      <c r="D149" s="9" t="s">
        <v>307</v>
      </c>
    </row>
    <row r="150" customFormat="false" ht="15" hidden="false" customHeight="false" outlineLevel="0" collapsed="false">
      <c r="A150" s="22" t="s">
        <v>308</v>
      </c>
      <c r="B150" s="22" t="s">
        <v>121</v>
      </c>
      <c r="C150" s="24" t="s">
        <v>125</v>
      </c>
      <c r="D150" s="9" t="s">
        <v>309</v>
      </c>
    </row>
    <row r="151" customFormat="false" ht="15" hidden="false" customHeight="false" outlineLevel="0" collapsed="false">
      <c r="A151" s="22" t="s">
        <v>310</v>
      </c>
      <c r="B151" s="22" t="s">
        <v>121</v>
      </c>
      <c r="C151" s="24" t="s">
        <v>125</v>
      </c>
      <c r="D151" s="9" t="s">
        <v>311</v>
      </c>
    </row>
    <row r="152" customFormat="false" ht="15" hidden="false" customHeight="false" outlineLevel="0" collapsed="false">
      <c r="A152" s="22" t="s">
        <v>262</v>
      </c>
      <c r="B152" s="22" t="s">
        <v>121</v>
      </c>
      <c r="C152" s="24"/>
      <c r="D152" s="9" t="s">
        <v>312</v>
      </c>
    </row>
    <row r="153" customFormat="false" ht="15" hidden="false" customHeight="false" outlineLevel="0" collapsed="false">
      <c r="A153" s="22" t="s">
        <v>313</v>
      </c>
      <c r="B153" s="22" t="s">
        <v>121</v>
      </c>
      <c r="C153" s="24"/>
      <c r="D153" s="9" t="s">
        <v>314</v>
      </c>
    </row>
    <row r="154" customFormat="false" ht="15" hidden="false" customHeight="false" outlineLevel="0" collapsed="false">
      <c r="A154" s="22" t="s">
        <v>315</v>
      </c>
      <c r="B154" s="22" t="s">
        <v>153</v>
      </c>
      <c r="C154" s="24"/>
      <c r="D154" s="9" t="s">
        <v>316</v>
      </c>
    </row>
    <row r="155" customFormat="false" ht="15" hidden="false" customHeight="false" outlineLevel="0" collapsed="false">
      <c r="A155" s="22" t="s">
        <v>317</v>
      </c>
      <c r="B155" s="22" t="s">
        <v>153</v>
      </c>
      <c r="C155" s="24"/>
      <c r="D155" s="9" t="s">
        <v>318</v>
      </c>
    </row>
    <row r="157" customFormat="false" ht="19.4" hidden="false" customHeight="false" outlineLevel="0" collapsed="false">
      <c r="A157" s="20" t="s">
        <v>319</v>
      </c>
      <c r="B157" s="20"/>
      <c r="C157" s="20"/>
      <c r="D157" s="20"/>
    </row>
    <row r="158" customFormat="false" ht="15" hidden="false" customHeight="false" outlineLevel="0" collapsed="false">
      <c r="A158" s="21" t="s">
        <v>116</v>
      </c>
      <c r="B158" s="21" t="s">
        <v>117</v>
      </c>
      <c r="C158" s="21" t="s">
        <v>118</v>
      </c>
      <c r="D158" s="21" t="s">
        <v>119</v>
      </c>
    </row>
    <row r="159" customFormat="false" ht="15" hidden="false" customHeight="false" outlineLevel="0" collapsed="false">
      <c r="A159" s="22" t="s">
        <v>145</v>
      </c>
      <c r="B159" s="22" t="s">
        <v>137</v>
      </c>
      <c r="C159" s="23" t="s">
        <v>146</v>
      </c>
      <c r="D159" s="9" t="s">
        <v>147</v>
      </c>
    </row>
    <row r="160" customFormat="false" ht="15" hidden="false" customHeight="false" outlineLevel="0" collapsed="false">
      <c r="A160" s="22" t="s">
        <v>120</v>
      </c>
      <c r="B160" s="22" t="s">
        <v>121</v>
      </c>
      <c r="C160" s="26" t="s">
        <v>148</v>
      </c>
      <c r="D160" s="9" t="s">
        <v>149</v>
      </c>
    </row>
    <row r="161" customFormat="false" ht="15" hidden="false" customHeight="false" outlineLevel="0" collapsed="false">
      <c r="A161" s="22" t="s">
        <v>320</v>
      </c>
      <c r="B161" s="22" t="s">
        <v>134</v>
      </c>
      <c r="C161" s="25" t="s">
        <v>128</v>
      </c>
      <c r="D161" s="9" t="s">
        <v>321</v>
      </c>
    </row>
    <row r="162" customFormat="false" ht="15" hidden="false" customHeight="false" outlineLevel="0" collapsed="false">
      <c r="A162" s="22" t="s">
        <v>322</v>
      </c>
      <c r="B162" s="22" t="s">
        <v>121</v>
      </c>
      <c r="C162" s="24" t="s">
        <v>125</v>
      </c>
      <c r="D162" s="9" t="s">
        <v>323</v>
      </c>
    </row>
    <row r="163" customFormat="false" ht="15" hidden="false" customHeight="false" outlineLevel="0" collapsed="false">
      <c r="A163" s="22" t="s">
        <v>324</v>
      </c>
      <c r="B163" s="22" t="s">
        <v>137</v>
      </c>
      <c r="C163" s="24"/>
      <c r="D163" s="9" t="s">
        <v>325</v>
      </c>
    </row>
    <row r="164" customFormat="false" ht="15" hidden="false" customHeight="false" outlineLevel="0" collapsed="false">
      <c r="A164" s="22" t="s">
        <v>326</v>
      </c>
      <c r="B164" s="22" t="s">
        <v>153</v>
      </c>
      <c r="C164" s="24"/>
      <c r="D164" s="9" t="s">
        <v>327</v>
      </c>
    </row>
    <row r="165" customFormat="false" ht="15" hidden="false" customHeight="false" outlineLevel="0" collapsed="false">
      <c r="A165" s="22" t="s">
        <v>328</v>
      </c>
      <c r="B165" s="22" t="s">
        <v>153</v>
      </c>
      <c r="C165" s="24"/>
      <c r="D165" s="9" t="s">
        <v>329</v>
      </c>
    </row>
    <row r="166" customFormat="false" ht="15" hidden="false" customHeight="false" outlineLevel="0" collapsed="false">
      <c r="A166" s="22" t="s">
        <v>330</v>
      </c>
      <c r="B166" s="22" t="s">
        <v>153</v>
      </c>
      <c r="C166" s="24"/>
      <c r="D166" s="9" t="s">
        <v>331</v>
      </c>
    </row>
    <row r="167" customFormat="false" ht="15" hidden="false" customHeight="false" outlineLevel="0" collapsed="false">
      <c r="A167" s="22" t="s">
        <v>332</v>
      </c>
      <c r="B167" s="22" t="s">
        <v>121</v>
      </c>
      <c r="C167" s="25" t="s">
        <v>128</v>
      </c>
      <c r="D167" s="9" t="s">
        <v>333</v>
      </c>
    </row>
    <row r="168" customFormat="false" ht="15" hidden="false" customHeight="false" outlineLevel="0" collapsed="false">
      <c r="A168" s="22" t="s">
        <v>334</v>
      </c>
      <c r="B168" s="22" t="s">
        <v>121</v>
      </c>
      <c r="C168" s="24"/>
      <c r="D168" s="9" t="s">
        <v>335</v>
      </c>
    </row>
    <row r="170" customFormat="false" ht="19.4" hidden="false" customHeight="false" outlineLevel="0" collapsed="false">
      <c r="A170" s="20" t="s">
        <v>336</v>
      </c>
      <c r="B170" s="20"/>
      <c r="C170" s="20"/>
      <c r="D170" s="20"/>
    </row>
    <row r="171" customFormat="false" ht="15" hidden="false" customHeight="false" outlineLevel="0" collapsed="false">
      <c r="A171" s="21" t="s">
        <v>116</v>
      </c>
      <c r="B171" s="21" t="s">
        <v>117</v>
      </c>
      <c r="C171" s="21" t="s">
        <v>118</v>
      </c>
      <c r="D171" s="21" t="s">
        <v>119</v>
      </c>
    </row>
    <row r="172" customFormat="false" ht="15" hidden="false" customHeight="false" outlineLevel="0" collapsed="false">
      <c r="A172" s="22" t="s">
        <v>145</v>
      </c>
      <c r="B172" s="22" t="s">
        <v>137</v>
      </c>
      <c r="C172" s="23" t="s">
        <v>146</v>
      </c>
      <c r="D172" s="9" t="s">
        <v>147</v>
      </c>
    </row>
    <row r="173" customFormat="false" ht="15" hidden="false" customHeight="false" outlineLevel="0" collapsed="false">
      <c r="A173" s="22" t="s">
        <v>120</v>
      </c>
      <c r="B173" s="22" t="s">
        <v>121</v>
      </c>
      <c r="C173" s="26" t="s">
        <v>148</v>
      </c>
      <c r="D173" s="9" t="s">
        <v>149</v>
      </c>
    </row>
    <row r="174" customFormat="false" ht="15" hidden="false" customHeight="false" outlineLevel="0" collapsed="false">
      <c r="A174" s="22" t="s">
        <v>337</v>
      </c>
      <c r="B174" s="22" t="s">
        <v>142</v>
      </c>
      <c r="C174" s="25" t="s">
        <v>128</v>
      </c>
      <c r="D174" s="9" t="s">
        <v>338</v>
      </c>
    </row>
    <row r="175" customFormat="false" ht="15" hidden="false" customHeight="false" outlineLevel="0" collapsed="false">
      <c r="A175" s="22" t="s">
        <v>339</v>
      </c>
      <c r="B175" s="22" t="s">
        <v>121</v>
      </c>
      <c r="C175" s="24" t="s">
        <v>125</v>
      </c>
      <c r="D175" s="9" t="s">
        <v>340</v>
      </c>
    </row>
    <row r="176" customFormat="false" ht="15" hidden="false" customHeight="false" outlineLevel="0" collapsed="false">
      <c r="A176" s="22" t="s">
        <v>284</v>
      </c>
      <c r="B176" s="22" t="s">
        <v>137</v>
      </c>
      <c r="C176" s="26" t="s">
        <v>341</v>
      </c>
      <c r="D176" s="9" t="s">
        <v>342</v>
      </c>
    </row>
    <row r="177" customFormat="false" ht="15" hidden="false" customHeight="false" outlineLevel="0" collapsed="false">
      <c r="A177" s="22" t="s">
        <v>343</v>
      </c>
      <c r="B177" s="22" t="s">
        <v>153</v>
      </c>
      <c r="C177" s="24"/>
      <c r="D177" s="9" t="s">
        <v>344</v>
      </c>
    </row>
    <row r="178" customFormat="false" ht="15" hidden="false" customHeight="false" outlineLevel="0" collapsed="false">
      <c r="A178" s="22" t="s">
        <v>345</v>
      </c>
      <c r="B178" s="22" t="s">
        <v>121</v>
      </c>
      <c r="C178" s="24"/>
      <c r="D178" s="9" t="s">
        <v>346</v>
      </c>
    </row>
    <row r="179" customFormat="false" ht="15" hidden="false" customHeight="false" outlineLevel="0" collapsed="false">
      <c r="A179" s="22" t="s">
        <v>347</v>
      </c>
      <c r="B179" s="22" t="s">
        <v>137</v>
      </c>
      <c r="C179" s="24" t="s">
        <v>125</v>
      </c>
      <c r="D179" s="9" t="s">
        <v>348</v>
      </c>
    </row>
    <row r="181" customFormat="false" ht="19.4" hidden="false" customHeight="false" outlineLevel="0" collapsed="false">
      <c r="A181" s="20" t="s">
        <v>349</v>
      </c>
      <c r="B181" s="20"/>
      <c r="C181" s="20"/>
      <c r="D181" s="20"/>
    </row>
    <row r="182" customFormat="false" ht="15" hidden="false" customHeight="false" outlineLevel="0" collapsed="false">
      <c r="A182" s="21" t="s">
        <v>116</v>
      </c>
      <c r="B182" s="21" t="s">
        <v>117</v>
      </c>
      <c r="C182" s="21" t="s">
        <v>118</v>
      </c>
      <c r="D182" s="21" t="s">
        <v>119</v>
      </c>
    </row>
    <row r="183" customFormat="false" ht="15" hidden="false" customHeight="false" outlineLevel="0" collapsed="false">
      <c r="A183" s="22" t="s">
        <v>145</v>
      </c>
      <c r="B183" s="22" t="s">
        <v>137</v>
      </c>
      <c r="C183" s="23" t="s">
        <v>146</v>
      </c>
      <c r="D183" s="9" t="s">
        <v>147</v>
      </c>
    </row>
    <row r="184" customFormat="false" ht="15" hidden="false" customHeight="false" outlineLevel="0" collapsed="false">
      <c r="A184" s="22" t="s">
        <v>120</v>
      </c>
      <c r="B184" s="22" t="s">
        <v>121</v>
      </c>
      <c r="C184" s="26" t="s">
        <v>148</v>
      </c>
      <c r="D184" s="9" t="s">
        <v>149</v>
      </c>
    </row>
    <row r="185" customFormat="false" ht="15" hidden="false" customHeight="false" outlineLevel="0" collapsed="false">
      <c r="A185" s="22" t="s">
        <v>350</v>
      </c>
      <c r="B185" s="22" t="s">
        <v>134</v>
      </c>
      <c r="C185" s="24" t="s">
        <v>125</v>
      </c>
      <c r="D185" s="9" t="s">
        <v>351</v>
      </c>
    </row>
    <row r="186" customFormat="false" ht="15" hidden="false" customHeight="false" outlineLevel="0" collapsed="false">
      <c r="A186" s="22" t="s">
        <v>352</v>
      </c>
      <c r="B186" s="22" t="s">
        <v>153</v>
      </c>
      <c r="C186" s="24" t="s">
        <v>125</v>
      </c>
      <c r="D186" s="9" t="s">
        <v>353</v>
      </c>
    </row>
    <row r="187" customFormat="false" ht="15" hidden="false" customHeight="false" outlineLevel="0" collapsed="false">
      <c r="A187" s="22" t="s">
        <v>161</v>
      </c>
      <c r="B187" s="22" t="s">
        <v>137</v>
      </c>
      <c r="C187" s="24" t="s">
        <v>125</v>
      </c>
      <c r="D187" s="9" t="s">
        <v>354</v>
      </c>
    </row>
    <row r="188" customFormat="false" ht="15" hidden="false" customHeight="false" outlineLevel="0" collapsed="false">
      <c r="A188" s="22" t="s">
        <v>355</v>
      </c>
      <c r="B188" s="22" t="s">
        <v>153</v>
      </c>
      <c r="C188" s="24" t="s">
        <v>125</v>
      </c>
      <c r="D188" s="9" t="s">
        <v>356</v>
      </c>
    </row>
    <row r="189" customFormat="false" ht="15" hidden="false" customHeight="false" outlineLevel="0" collapsed="false">
      <c r="A189" s="22" t="s">
        <v>330</v>
      </c>
      <c r="B189" s="22" t="s">
        <v>153</v>
      </c>
      <c r="C189" s="24"/>
      <c r="D189" s="9" t="s">
        <v>331</v>
      </c>
    </row>
    <row r="190" customFormat="false" ht="15" hidden="false" customHeight="false" outlineLevel="0" collapsed="false">
      <c r="A190" s="22" t="s">
        <v>343</v>
      </c>
      <c r="B190" s="22" t="s">
        <v>153</v>
      </c>
      <c r="C190" s="24"/>
      <c r="D190" s="9" t="s">
        <v>357</v>
      </c>
    </row>
    <row r="191" customFormat="false" ht="15" hidden="false" customHeight="false" outlineLevel="0" collapsed="false">
      <c r="A191" s="22" t="s">
        <v>358</v>
      </c>
      <c r="B191" s="22" t="s">
        <v>153</v>
      </c>
      <c r="C191" s="24"/>
      <c r="D191" s="9" t="s">
        <v>359</v>
      </c>
    </row>
    <row r="192" customFormat="false" ht="15" hidden="false" customHeight="false" outlineLevel="0" collapsed="false">
      <c r="A192" s="22" t="s">
        <v>284</v>
      </c>
      <c r="B192" s="22" t="s">
        <v>137</v>
      </c>
      <c r="C192" s="26" t="s">
        <v>341</v>
      </c>
      <c r="D192" s="9" t="s">
        <v>360</v>
      </c>
    </row>
    <row r="194" customFormat="false" ht="19.4" hidden="false" customHeight="false" outlineLevel="0" collapsed="false">
      <c r="A194" s="20" t="s">
        <v>361</v>
      </c>
      <c r="B194" s="20"/>
      <c r="C194" s="20"/>
      <c r="D194" s="20"/>
    </row>
    <row r="195" customFormat="false" ht="15" hidden="false" customHeight="false" outlineLevel="0" collapsed="false">
      <c r="A195" s="21" t="s">
        <v>116</v>
      </c>
      <c r="B195" s="21" t="s">
        <v>117</v>
      </c>
      <c r="C195" s="21" t="s">
        <v>118</v>
      </c>
      <c r="D195" s="21" t="s">
        <v>119</v>
      </c>
    </row>
    <row r="196" customFormat="false" ht="15" hidden="false" customHeight="false" outlineLevel="0" collapsed="false">
      <c r="A196" s="22" t="s">
        <v>145</v>
      </c>
      <c r="B196" s="22" t="s">
        <v>137</v>
      </c>
      <c r="C196" s="23" t="s">
        <v>146</v>
      </c>
      <c r="D196" s="9" t="s">
        <v>147</v>
      </c>
    </row>
    <row r="197" customFormat="false" ht="15" hidden="false" customHeight="false" outlineLevel="0" collapsed="false">
      <c r="A197" s="22" t="s">
        <v>120</v>
      </c>
      <c r="B197" s="22" t="s">
        <v>121</v>
      </c>
      <c r="C197" s="26" t="s">
        <v>148</v>
      </c>
      <c r="D197" s="9" t="s">
        <v>149</v>
      </c>
    </row>
    <row r="198" customFormat="false" ht="15" hidden="false" customHeight="false" outlineLevel="0" collapsed="false">
      <c r="A198" s="22" t="s">
        <v>350</v>
      </c>
      <c r="B198" s="22" t="s">
        <v>134</v>
      </c>
      <c r="C198" s="25" t="s">
        <v>128</v>
      </c>
      <c r="D198" s="9" t="s">
        <v>351</v>
      </c>
    </row>
    <row r="199" customFormat="false" ht="15" hidden="false" customHeight="false" outlineLevel="0" collapsed="false">
      <c r="A199" s="22" t="s">
        <v>362</v>
      </c>
      <c r="B199" s="22" t="s">
        <v>134</v>
      </c>
      <c r="C199" s="24" t="s">
        <v>125</v>
      </c>
      <c r="D199" s="9" t="s">
        <v>363</v>
      </c>
    </row>
    <row r="200" customFormat="false" ht="15" hidden="false" customHeight="false" outlineLevel="0" collapsed="false">
      <c r="A200" s="22" t="s">
        <v>352</v>
      </c>
      <c r="B200" s="22" t="s">
        <v>153</v>
      </c>
      <c r="C200" s="24" t="s">
        <v>125</v>
      </c>
      <c r="D200" s="9" t="s">
        <v>353</v>
      </c>
    </row>
    <row r="201" customFormat="false" ht="15" hidden="false" customHeight="false" outlineLevel="0" collapsed="false">
      <c r="A201" s="22" t="s">
        <v>364</v>
      </c>
      <c r="B201" s="22" t="s">
        <v>153</v>
      </c>
      <c r="C201" s="24" t="s">
        <v>125</v>
      </c>
      <c r="D201" s="9" t="s">
        <v>365</v>
      </c>
    </row>
    <row r="202" customFormat="false" ht="15" hidden="false" customHeight="false" outlineLevel="0" collapsed="false">
      <c r="A202" s="22" t="s">
        <v>161</v>
      </c>
      <c r="B202" s="22" t="s">
        <v>137</v>
      </c>
      <c r="C202" s="24" t="s">
        <v>125</v>
      </c>
      <c r="D202" s="9" t="s">
        <v>366</v>
      </c>
    </row>
    <row r="203" customFormat="false" ht="15" hidden="false" customHeight="false" outlineLevel="0" collapsed="false">
      <c r="A203" s="22" t="s">
        <v>367</v>
      </c>
      <c r="B203" s="22" t="s">
        <v>153</v>
      </c>
      <c r="C203" s="24" t="s">
        <v>125</v>
      </c>
      <c r="D203" s="9" t="s">
        <v>368</v>
      </c>
    </row>
    <row r="204" customFormat="false" ht="15" hidden="false" customHeight="false" outlineLevel="0" collapsed="false">
      <c r="A204" s="22" t="s">
        <v>369</v>
      </c>
      <c r="B204" s="22" t="s">
        <v>153</v>
      </c>
      <c r="C204" s="24" t="s">
        <v>125</v>
      </c>
      <c r="D204" s="9" t="s">
        <v>370</v>
      </c>
    </row>
    <row r="205" customFormat="false" ht="15" hidden="false" customHeight="false" outlineLevel="0" collapsed="false">
      <c r="A205" s="22" t="s">
        <v>371</v>
      </c>
      <c r="B205" s="22" t="s">
        <v>137</v>
      </c>
      <c r="C205" s="24" t="s">
        <v>125</v>
      </c>
      <c r="D205" s="9" t="s">
        <v>372</v>
      </c>
    </row>
    <row r="206" customFormat="false" ht="15" hidden="false" customHeight="false" outlineLevel="0" collapsed="false">
      <c r="A206" s="22" t="s">
        <v>284</v>
      </c>
      <c r="B206" s="22" t="s">
        <v>137</v>
      </c>
      <c r="C206" s="26" t="s">
        <v>341</v>
      </c>
      <c r="D206" s="9" t="s">
        <v>373</v>
      </c>
    </row>
    <row r="207" customFormat="false" ht="15" hidden="false" customHeight="false" outlineLevel="0" collapsed="false">
      <c r="A207" s="22" t="s">
        <v>374</v>
      </c>
      <c r="B207" s="22" t="s">
        <v>121</v>
      </c>
      <c r="C207" s="24"/>
      <c r="D207" s="9" t="s">
        <v>375</v>
      </c>
    </row>
    <row r="208" customFormat="false" ht="15" hidden="false" customHeight="false" outlineLevel="0" collapsed="false">
      <c r="A208" s="22" t="s">
        <v>376</v>
      </c>
      <c r="B208" s="22" t="s">
        <v>121</v>
      </c>
      <c r="C208" s="24"/>
      <c r="D208" s="9" t="s">
        <v>377</v>
      </c>
    </row>
    <row r="210" customFormat="false" ht="19.4" hidden="false" customHeight="false" outlineLevel="0" collapsed="false">
      <c r="A210" s="20" t="s">
        <v>378</v>
      </c>
      <c r="B210" s="20"/>
      <c r="C210" s="20"/>
      <c r="D210" s="20"/>
    </row>
    <row r="211" customFormat="false" ht="15" hidden="false" customHeight="false" outlineLevel="0" collapsed="false">
      <c r="A211" s="21" t="s">
        <v>116</v>
      </c>
      <c r="B211" s="21" t="s">
        <v>117</v>
      </c>
      <c r="C211" s="21" t="s">
        <v>118</v>
      </c>
      <c r="D211" s="21" t="s">
        <v>119</v>
      </c>
    </row>
    <row r="212" customFormat="false" ht="15" hidden="false" customHeight="false" outlineLevel="0" collapsed="false">
      <c r="A212" s="22" t="s">
        <v>145</v>
      </c>
      <c r="B212" s="22" t="s">
        <v>137</v>
      </c>
      <c r="C212" s="23" t="s">
        <v>146</v>
      </c>
      <c r="D212" s="9" t="s">
        <v>147</v>
      </c>
    </row>
    <row r="213" customFormat="false" ht="15" hidden="false" customHeight="false" outlineLevel="0" collapsed="false">
      <c r="A213" s="22" t="s">
        <v>379</v>
      </c>
      <c r="B213" s="22" t="s">
        <v>142</v>
      </c>
      <c r="C213" s="25" t="s">
        <v>128</v>
      </c>
      <c r="D213" s="9" t="s">
        <v>380</v>
      </c>
    </row>
    <row r="214" customFormat="false" ht="15" hidden="false" customHeight="false" outlineLevel="0" collapsed="false">
      <c r="A214" s="22" t="s">
        <v>381</v>
      </c>
      <c r="B214" s="22" t="s">
        <v>121</v>
      </c>
      <c r="C214" s="24" t="s">
        <v>125</v>
      </c>
      <c r="D214" s="9" t="s">
        <v>382</v>
      </c>
    </row>
    <row r="215" customFormat="false" ht="15" hidden="false" customHeight="false" outlineLevel="0" collapsed="false">
      <c r="A215" s="22" t="s">
        <v>383</v>
      </c>
      <c r="B215" s="22" t="s">
        <v>121</v>
      </c>
      <c r="C215" s="24" t="s">
        <v>125</v>
      </c>
      <c r="D215" s="9" t="s">
        <v>384</v>
      </c>
    </row>
    <row r="216" customFormat="false" ht="15" hidden="false" customHeight="false" outlineLevel="0" collapsed="false">
      <c r="A216" s="22" t="s">
        <v>120</v>
      </c>
      <c r="B216" s="22" t="s">
        <v>121</v>
      </c>
      <c r="C216" s="26" t="s">
        <v>341</v>
      </c>
      <c r="D216" s="9" t="s">
        <v>385</v>
      </c>
    </row>
    <row r="217" customFormat="false" ht="15" hidden="false" customHeight="false" outlineLevel="0" collapsed="false">
      <c r="A217" s="22" t="s">
        <v>386</v>
      </c>
      <c r="B217" s="22" t="s">
        <v>121</v>
      </c>
      <c r="C217" s="24" t="s">
        <v>125</v>
      </c>
      <c r="D217" s="9" t="s">
        <v>387</v>
      </c>
    </row>
    <row r="218" customFormat="false" ht="15" hidden="false" customHeight="false" outlineLevel="0" collapsed="false">
      <c r="A218" s="22" t="s">
        <v>388</v>
      </c>
      <c r="B218" s="22" t="s">
        <v>121</v>
      </c>
      <c r="C218" s="24"/>
      <c r="D218" s="9" t="s">
        <v>389</v>
      </c>
    </row>
    <row r="220" customFormat="false" ht="19.4" hidden="false" customHeight="false" outlineLevel="0" collapsed="false">
      <c r="A220" s="20" t="s">
        <v>390</v>
      </c>
      <c r="B220" s="20"/>
      <c r="C220" s="20"/>
      <c r="D220" s="20"/>
    </row>
    <row r="221" customFormat="false" ht="15" hidden="false" customHeight="false" outlineLevel="0" collapsed="false">
      <c r="A221" s="21" t="s">
        <v>116</v>
      </c>
      <c r="B221" s="21" t="s">
        <v>117</v>
      </c>
      <c r="C221" s="21" t="s">
        <v>118</v>
      </c>
      <c r="D221" s="21" t="s">
        <v>119</v>
      </c>
    </row>
    <row r="222" customFormat="false" ht="15" hidden="false" customHeight="false" outlineLevel="0" collapsed="false">
      <c r="A222" s="22" t="s">
        <v>391</v>
      </c>
      <c r="B222" s="22" t="s">
        <v>121</v>
      </c>
      <c r="C222" s="23" t="s">
        <v>285</v>
      </c>
      <c r="D222" s="9" t="s">
        <v>392</v>
      </c>
    </row>
    <row r="223" customFormat="false" ht="15" hidden="false" customHeight="false" outlineLevel="0" collapsed="false">
      <c r="A223" s="22" t="s">
        <v>393</v>
      </c>
      <c r="B223" s="22" t="s">
        <v>121</v>
      </c>
      <c r="C223" s="24" t="s">
        <v>125</v>
      </c>
      <c r="D223" s="9" t="s">
        <v>394</v>
      </c>
    </row>
    <row r="224" customFormat="false" ht="15" hidden="false" customHeight="false" outlineLevel="0" collapsed="false">
      <c r="A224" s="22" t="s">
        <v>313</v>
      </c>
      <c r="B224" s="22" t="s">
        <v>121</v>
      </c>
      <c r="C224" s="24"/>
      <c r="D224" s="9" t="s">
        <v>119</v>
      </c>
    </row>
    <row r="225" customFormat="false" ht="15" hidden="false" customHeight="false" outlineLevel="0" collapsed="false">
      <c r="A225" s="22" t="s">
        <v>141</v>
      </c>
      <c r="B225" s="22" t="s">
        <v>142</v>
      </c>
      <c r="C225" s="24" t="s">
        <v>125</v>
      </c>
      <c r="D225" s="9" t="s">
        <v>143</v>
      </c>
    </row>
    <row r="227" customFormat="false" ht="19.4" hidden="false" customHeight="false" outlineLevel="0" collapsed="false">
      <c r="A227" s="20" t="s">
        <v>395</v>
      </c>
      <c r="B227" s="20"/>
      <c r="C227" s="20"/>
      <c r="D227" s="20"/>
    </row>
    <row r="228" customFormat="false" ht="15" hidden="false" customHeight="false" outlineLevel="0" collapsed="false">
      <c r="A228" s="21" t="s">
        <v>116</v>
      </c>
      <c r="B228" s="21" t="s">
        <v>117</v>
      </c>
      <c r="C228" s="21" t="s">
        <v>118</v>
      </c>
      <c r="D228" s="21" t="s">
        <v>119</v>
      </c>
    </row>
    <row r="229" customFormat="false" ht="15" hidden="false" customHeight="false" outlineLevel="0" collapsed="false">
      <c r="A229" s="22" t="s">
        <v>145</v>
      </c>
      <c r="B229" s="22" t="s">
        <v>137</v>
      </c>
      <c r="C229" s="23" t="s">
        <v>146</v>
      </c>
      <c r="D229" s="9" t="s">
        <v>147</v>
      </c>
    </row>
    <row r="230" customFormat="false" ht="15" hidden="false" customHeight="false" outlineLevel="0" collapsed="false">
      <c r="A230" s="22" t="s">
        <v>396</v>
      </c>
      <c r="B230" s="22" t="s">
        <v>142</v>
      </c>
      <c r="C230" s="25" t="s">
        <v>128</v>
      </c>
      <c r="D230" s="9" t="s">
        <v>397</v>
      </c>
    </row>
    <row r="231" customFormat="false" ht="15" hidden="false" customHeight="false" outlineLevel="0" collapsed="false">
      <c r="A231" s="22" t="s">
        <v>398</v>
      </c>
      <c r="B231" s="22" t="s">
        <v>121</v>
      </c>
      <c r="C231" s="24" t="s">
        <v>125</v>
      </c>
      <c r="D231" s="9" t="s">
        <v>399</v>
      </c>
    </row>
    <row r="232" customFormat="false" ht="15" hidden="false" customHeight="false" outlineLevel="0" collapsed="false">
      <c r="A232" s="22" t="s">
        <v>332</v>
      </c>
      <c r="B232" s="22" t="s">
        <v>121</v>
      </c>
      <c r="C232" s="24" t="s">
        <v>125</v>
      </c>
      <c r="D232" s="9" t="s">
        <v>400</v>
      </c>
    </row>
    <row r="233" customFormat="false" ht="15" hidden="false" customHeight="false" outlineLevel="0" collapsed="false">
      <c r="A233" s="22" t="s">
        <v>401</v>
      </c>
      <c r="B233" s="22" t="s">
        <v>137</v>
      </c>
      <c r="C233" s="24"/>
      <c r="D233" s="9" t="s">
        <v>402</v>
      </c>
    </row>
    <row r="234" customFormat="false" ht="15" hidden="false" customHeight="false" outlineLevel="0" collapsed="false">
      <c r="A234" s="22" t="s">
        <v>403</v>
      </c>
      <c r="B234" s="22" t="s">
        <v>137</v>
      </c>
      <c r="C234" s="24"/>
      <c r="D234" s="9" t="s">
        <v>404</v>
      </c>
    </row>
    <row r="235" customFormat="false" ht="15" hidden="false" customHeight="false" outlineLevel="0" collapsed="false">
      <c r="A235" s="22" t="s">
        <v>405</v>
      </c>
      <c r="B235" s="22" t="s">
        <v>121</v>
      </c>
      <c r="C235" s="24"/>
      <c r="D235" s="9" t="s">
        <v>406</v>
      </c>
    </row>
  </sheetData>
  <mergeCells count="22">
    <mergeCell ref="A1:H1"/>
    <mergeCell ref="A2:H2"/>
    <mergeCell ref="A4:D4"/>
    <mergeCell ref="A15:D15"/>
    <mergeCell ref="A29:D29"/>
    <mergeCell ref="A42:D42"/>
    <mergeCell ref="A53:D53"/>
    <mergeCell ref="A64:D64"/>
    <mergeCell ref="A76:D76"/>
    <mergeCell ref="A87:D87"/>
    <mergeCell ref="A101:D101"/>
    <mergeCell ref="A114:D114"/>
    <mergeCell ref="A125:D125"/>
    <mergeCell ref="A133:D133"/>
    <mergeCell ref="A147:D147"/>
    <mergeCell ref="A157:D157"/>
    <mergeCell ref="A170:D170"/>
    <mergeCell ref="A181:D181"/>
    <mergeCell ref="A194:D194"/>
    <mergeCell ref="A210:D210"/>
    <mergeCell ref="A220:D220"/>
    <mergeCell ref="A227:D2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30"/>
  </cols>
  <sheetData>
    <row r="1" customFormat="false" ht="23.85" hidden="false" customHeight="true" outlineLevel="0" collapsed="false">
      <c r="A1" s="27" t="s">
        <v>407</v>
      </c>
      <c r="B1" s="27"/>
    </row>
    <row r="2" customFormat="false" ht="15" hidden="false" customHeight="true" outlineLevel="0" collapsed="false">
      <c r="A2" s="3" t="s">
        <v>408</v>
      </c>
      <c r="B2" s="3"/>
    </row>
    <row r="4" customFormat="false" ht="15" hidden="false" customHeight="false" outlineLevel="0" collapsed="false">
      <c r="A4" s="28" t="s">
        <v>409</v>
      </c>
      <c r="B4" s="28"/>
    </row>
    <row r="5" customFormat="false" ht="189.75" hidden="false" customHeight="true" outlineLevel="0" collapsed="false">
      <c r="A5" s="29" t="s">
        <v>410</v>
      </c>
      <c r="B5" s="29"/>
    </row>
    <row r="7" customFormat="false" ht="15" hidden="false" customHeight="false" outlineLevel="0" collapsed="false">
      <c r="A7" s="28" t="s">
        <v>411</v>
      </c>
      <c r="B7" s="28"/>
    </row>
    <row r="8" customFormat="false" ht="249.75" hidden="false" customHeight="true" outlineLevel="0" collapsed="false">
      <c r="A8" s="29" t="s">
        <v>412</v>
      </c>
      <c r="B8" s="29"/>
    </row>
    <row r="10" customFormat="false" ht="15" hidden="false" customHeight="false" outlineLevel="0" collapsed="false">
      <c r="A10" s="28" t="s">
        <v>413</v>
      </c>
      <c r="B10" s="28"/>
    </row>
    <row r="11" customFormat="false" ht="219.75" hidden="false" customHeight="true" outlineLevel="0" collapsed="false">
      <c r="A11" s="29" t="s">
        <v>414</v>
      </c>
      <c r="B11" s="29"/>
    </row>
    <row r="13" customFormat="false" ht="15" hidden="false" customHeight="false" outlineLevel="0" collapsed="false">
      <c r="A13" s="28" t="s">
        <v>415</v>
      </c>
      <c r="B13" s="28"/>
    </row>
    <row r="14" customFormat="false" ht="204.75" hidden="false" customHeight="true" outlineLevel="0" collapsed="false">
      <c r="A14" s="29" t="s">
        <v>416</v>
      </c>
      <c r="B14" s="29"/>
    </row>
    <row r="16" customFormat="false" ht="15" hidden="false" customHeight="false" outlineLevel="0" collapsed="false">
      <c r="A16" s="28" t="s">
        <v>417</v>
      </c>
      <c r="B16" s="28"/>
    </row>
    <row r="17" customFormat="false" ht="189.75" hidden="false" customHeight="true" outlineLevel="0" collapsed="false">
      <c r="A17" s="29" t="s">
        <v>418</v>
      </c>
      <c r="B17" s="29"/>
    </row>
    <row r="19" customFormat="false" ht="15" hidden="false" customHeight="false" outlineLevel="0" collapsed="false">
      <c r="A19" s="28" t="s">
        <v>419</v>
      </c>
      <c r="B19" s="28"/>
    </row>
    <row r="20" customFormat="false" ht="189.75" hidden="false" customHeight="true" outlineLevel="0" collapsed="false">
      <c r="A20" s="29" t="s">
        <v>420</v>
      </c>
      <c r="B20" s="29"/>
    </row>
    <row r="22" customFormat="false" ht="15" hidden="false" customHeight="false" outlineLevel="0" collapsed="false">
      <c r="A22" s="28" t="s">
        <v>421</v>
      </c>
      <c r="B22" s="28"/>
    </row>
    <row r="23" customFormat="false" ht="234.75" hidden="false" customHeight="true" outlineLevel="0" collapsed="false">
      <c r="A23" s="29" t="s">
        <v>422</v>
      </c>
      <c r="B23" s="29"/>
    </row>
    <row r="25" customFormat="false" ht="15" hidden="false" customHeight="false" outlineLevel="0" collapsed="false">
      <c r="A25" s="28" t="s">
        <v>423</v>
      </c>
      <c r="B25" s="28"/>
    </row>
    <row r="26" customFormat="false" ht="219.75" hidden="false" customHeight="true" outlineLevel="0" collapsed="false">
      <c r="A26" s="29" t="s">
        <v>424</v>
      </c>
      <c r="B26" s="29"/>
    </row>
    <row r="28" customFormat="false" ht="15" hidden="false" customHeight="false" outlineLevel="0" collapsed="false">
      <c r="A28" s="28" t="s">
        <v>425</v>
      </c>
      <c r="B28" s="28"/>
    </row>
    <row r="29" customFormat="false" ht="174.75" hidden="false" customHeight="true" outlineLevel="0" collapsed="false">
      <c r="A29" s="29" t="s">
        <v>426</v>
      </c>
      <c r="B29" s="29"/>
    </row>
    <row r="31" customFormat="false" ht="15" hidden="false" customHeight="false" outlineLevel="0" collapsed="false">
      <c r="A31" s="28" t="s">
        <v>427</v>
      </c>
      <c r="B31" s="28"/>
    </row>
    <row r="32" customFormat="false" ht="114.75" hidden="false" customHeight="true" outlineLevel="0" collapsed="false">
      <c r="A32" s="29" t="s">
        <v>428</v>
      </c>
      <c r="B32" s="29"/>
    </row>
    <row r="34" customFormat="false" ht="15" hidden="false" customHeight="false" outlineLevel="0" collapsed="false">
      <c r="A34" s="28" t="s">
        <v>429</v>
      </c>
      <c r="B34" s="28"/>
    </row>
    <row r="35" customFormat="false" ht="219.75" hidden="false" customHeight="true" outlineLevel="0" collapsed="false">
      <c r="A35" s="29" t="s">
        <v>430</v>
      </c>
      <c r="B35" s="29"/>
    </row>
    <row r="37" customFormat="false" ht="15" hidden="false" customHeight="false" outlineLevel="0" collapsed="false">
      <c r="A37" s="28" t="s">
        <v>431</v>
      </c>
      <c r="B37" s="28"/>
    </row>
    <row r="38" customFormat="false" ht="144.75" hidden="false" customHeight="true" outlineLevel="0" collapsed="false">
      <c r="A38" s="29" t="s">
        <v>432</v>
      </c>
      <c r="B38" s="29"/>
    </row>
    <row r="40" customFormat="false" ht="15" hidden="false" customHeight="false" outlineLevel="0" collapsed="false">
      <c r="A40" s="28" t="s">
        <v>433</v>
      </c>
      <c r="B40" s="28"/>
    </row>
    <row r="41" customFormat="false" ht="234.75" hidden="false" customHeight="true" outlineLevel="0" collapsed="false">
      <c r="A41" s="29" t="s">
        <v>434</v>
      </c>
      <c r="B41" s="29"/>
    </row>
    <row r="43" customFormat="false" ht="15" hidden="false" customHeight="false" outlineLevel="0" collapsed="false">
      <c r="A43" s="28" t="s">
        <v>435</v>
      </c>
      <c r="B43" s="28"/>
    </row>
    <row r="44" customFormat="false" ht="219.75" hidden="false" customHeight="true" outlineLevel="0" collapsed="false">
      <c r="A44" s="29" t="s">
        <v>436</v>
      </c>
      <c r="B44" s="29"/>
    </row>
    <row r="46" customFormat="false" ht="15" hidden="false" customHeight="false" outlineLevel="0" collapsed="false">
      <c r="A46" s="28" t="s">
        <v>437</v>
      </c>
      <c r="B46" s="28"/>
    </row>
    <row r="47" customFormat="false" ht="219.75" hidden="false" customHeight="true" outlineLevel="0" collapsed="false">
      <c r="A47" s="29" t="s">
        <v>438</v>
      </c>
      <c r="B47" s="29"/>
    </row>
    <row r="49" customFormat="false" ht="15" hidden="false" customHeight="false" outlineLevel="0" collapsed="false">
      <c r="A49" s="28" t="s">
        <v>439</v>
      </c>
      <c r="B49" s="28"/>
    </row>
    <row r="50" customFormat="false" ht="294.75" hidden="false" customHeight="true" outlineLevel="0" collapsed="false">
      <c r="A50" s="29" t="s">
        <v>440</v>
      </c>
      <c r="B50" s="29"/>
    </row>
    <row r="52" customFormat="false" ht="15" hidden="false" customHeight="false" outlineLevel="0" collapsed="false">
      <c r="A52" s="28" t="s">
        <v>441</v>
      </c>
      <c r="B52" s="28"/>
    </row>
    <row r="53" customFormat="false" ht="174.75" hidden="false" customHeight="true" outlineLevel="0" collapsed="false">
      <c r="A53" s="29" t="s">
        <v>442</v>
      </c>
      <c r="B53" s="29"/>
    </row>
    <row r="55" customFormat="false" ht="15" hidden="false" customHeight="false" outlineLevel="0" collapsed="false">
      <c r="A55" s="28" t="s">
        <v>443</v>
      </c>
      <c r="B55" s="28"/>
    </row>
    <row r="56" customFormat="false" ht="189.75" hidden="false" customHeight="true" outlineLevel="0" collapsed="false">
      <c r="A56" s="29" t="s">
        <v>444</v>
      </c>
      <c r="B56" s="29"/>
    </row>
    <row r="58" customFormat="false" ht="15" hidden="false" customHeight="false" outlineLevel="0" collapsed="false">
      <c r="A58" s="28" t="s">
        <v>445</v>
      </c>
      <c r="B58" s="28"/>
    </row>
    <row r="59" customFormat="false" ht="159.75" hidden="false" customHeight="true" outlineLevel="0" collapsed="false">
      <c r="A59" s="29" t="s">
        <v>446</v>
      </c>
      <c r="B59" s="29"/>
    </row>
  </sheetData>
  <mergeCells count="40">
    <mergeCell ref="A1:B1"/>
    <mergeCell ref="A2:B2"/>
    <mergeCell ref="A4:B4"/>
    <mergeCell ref="A5:B5"/>
    <mergeCell ref="A7:B7"/>
    <mergeCell ref="A8:B8"/>
    <mergeCell ref="A10:B10"/>
    <mergeCell ref="A11:B11"/>
    <mergeCell ref="A13:B13"/>
    <mergeCell ref="A14:B14"/>
    <mergeCell ref="A16:B16"/>
    <mergeCell ref="A17:B17"/>
    <mergeCell ref="A19:B19"/>
    <mergeCell ref="A20:B20"/>
    <mergeCell ref="A22:B22"/>
    <mergeCell ref="A23:B23"/>
    <mergeCell ref="A25:B25"/>
    <mergeCell ref="A26:B26"/>
    <mergeCell ref="A28:B28"/>
    <mergeCell ref="A29:B29"/>
    <mergeCell ref="A31:B31"/>
    <mergeCell ref="A32:B32"/>
    <mergeCell ref="A34:B34"/>
    <mergeCell ref="A35:B35"/>
    <mergeCell ref="A37:B37"/>
    <mergeCell ref="A38:B38"/>
    <mergeCell ref="A40:B40"/>
    <mergeCell ref="A41:B41"/>
    <mergeCell ref="A43:B43"/>
    <mergeCell ref="A44:B44"/>
    <mergeCell ref="A46:B46"/>
    <mergeCell ref="A47:B47"/>
    <mergeCell ref="A49:B49"/>
    <mergeCell ref="A50:B50"/>
    <mergeCell ref="A52:B52"/>
    <mergeCell ref="A53:B53"/>
    <mergeCell ref="A55:B55"/>
    <mergeCell ref="A56:B56"/>
    <mergeCell ref="A58:B58"/>
    <mergeCell ref="A59:B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42"/>
    <col collapsed="false" customWidth="true" hidden="false" outlineLevel="0" max="4" min="4" style="1" width="12"/>
  </cols>
  <sheetData>
    <row r="1" customFormat="false" ht="23.85" hidden="false" customHeight="true" outlineLevel="0" collapsed="false">
      <c r="A1" s="2" t="s">
        <v>447</v>
      </c>
      <c r="B1" s="2"/>
      <c r="C1" s="2"/>
      <c r="D1" s="2"/>
    </row>
    <row r="3" customFormat="false" ht="15" hidden="false" customHeight="false" outlineLevel="0" collapsed="false">
      <c r="A3" s="4" t="s">
        <v>448</v>
      </c>
    </row>
    <row r="4" customFormat="false" ht="17.15" hidden="false" customHeight="false" outlineLevel="0" collapsed="false">
      <c r="A4" s="5" t="s">
        <v>449</v>
      </c>
      <c r="B4" s="5" t="s">
        <v>450</v>
      </c>
      <c r="C4" s="5" t="s">
        <v>451</v>
      </c>
      <c r="D4" s="5" t="s">
        <v>6</v>
      </c>
    </row>
    <row r="5" customFormat="false" ht="29.85" hidden="false" customHeight="false" outlineLevel="0" collapsed="false">
      <c r="A5" s="6" t="s">
        <v>16</v>
      </c>
      <c r="B5" s="30" t="s">
        <v>452</v>
      </c>
      <c r="C5" s="10" t="s">
        <v>453</v>
      </c>
      <c r="D5" s="9" t="s">
        <v>454</v>
      </c>
    </row>
    <row r="6" customFormat="false" ht="15" hidden="false" customHeight="false" outlineLevel="0" collapsed="false">
      <c r="A6" s="6" t="s">
        <v>16</v>
      </c>
      <c r="B6" s="30" t="s">
        <v>150</v>
      </c>
      <c r="C6" s="10" t="s">
        <v>455</v>
      </c>
      <c r="D6" s="9" t="s">
        <v>456</v>
      </c>
    </row>
    <row r="7" customFormat="false" ht="29.85" hidden="false" customHeight="false" outlineLevel="0" collapsed="false">
      <c r="A7" s="6" t="s">
        <v>22</v>
      </c>
      <c r="B7" s="30" t="s">
        <v>452</v>
      </c>
      <c r="C7" s="10" t="s">
        <v>453</v>
      </c>
      <c r="D7" s="9" t="s">
        <v>457</v>
      </c>
    </row>
    <row r="8" customFormat="false" ht="23.85" hidden="false" customHeight="false" outlineLevel="0" collapsed="false">
      <c r="A8" s="6" t="s">
        <v>28</v>
      </c>
      <c r="B8" s="30" t="s">
        <v>452</v>
      </c>
      <c r="C8" s="10" t="s">
        <v>453</v>
      </c>
      <c r="D8" s="9" t="s">
        <v>458</v>
      </c>
    </row>
    <row r="9" customFormat="false" ht="29.85" hidden="false" customHeight="false" outlineLevel="0" collapsed="false">
      <c r="A9" s="6" t="s">
        <v>75</v>
      </c>
      <c r="B9" s="30" t="s">
        <v>332</v>
      </c>
      <c r="C9" s="10" t="s">
        <v>455</v>
      </c>
      <c r="D9" s="9" t="s">
        <v>459</v>
      </c>
    </row>
    <row r="10" customFormat="false" ht="29.85" hidden="false" customHeight="false" outlineLevel="0" collapsed="false">
      <c r="A10" s="6" t="s">
        <v>75</v>
      </c>
      <c r="B10" s="30" t="s">
        <v>320</v>
      </c>
      <c r="C10" s="10" t="s">
        <v>455</v>
      </c>
      <c r="D10" s="9" t="s">
        <v>460</v>
      </c>
    </row>
    <row r="11" customFormat="false" ht="15" hidden="false" customHeight="false" outlineLevel="0" collapsed="false">
      <c r="A11" s="6" t="s">
        <v>80</v>
      </c>
      <c r="B11" s="30" t="s">
        <v>337</v>
      </c>
      <c r="C11" s="10" t="s">
        <v>455</v>
      </c>
      <c r="D11" s="9" t="s">
        <v>461</v>
      </c>
    </row>
    <row r="12" customFormat="false" ht="15" hidden="false" customHeight="false" outlineLevel="0" collapsed="false">
      <c r="A12" s="6" t="s">
        <v>80</v>
      </c>
      <c r="B12" s="30" t="s">
        <v>120</v>
      </c>
      <c r="C12" s="10" t="s">
        <v>455</v>
      </c>
      <c r="D12" s="9" t="s">
        <v>462</v>
      </c>
    </row>
    <row r="13" customFormat="false" ht="15" hidden="false" customHeight="false" outlineLevel="0" collapsed="false">
      <c r="A13" s="6" t="s">
        <v>89</v>
      </c>
      <c r="B13" s="30" t="s">
        <v>350</v>
      </c>
      <c r="C13" s="10" t="s">
        <v>455</v>
      </c>
      <c r="D13" s="9" t="s">
        <v>463</v>
      </c>
    </row>
    <row r="14" customFormat="false" ht="29.85" hidden="false" customHeight="false" outlineLevel="0" collapsed="false">
      <c r="A14" s="6" t="s">
        <v>94</v>
      </c>
      <c r="B14" s="30" t="s">
        <v>379</v>
      </c>
      <c r="C14" s="10" t="s">
        <v>455</v>
      </c>
      <c r="D14" s="9" t="s">
        <v>464</v>
      </c>
    </row>
    <row r="15" customFormat="false" ht="15" hidden="false" customHeight="false" outlineLevel="0" collapsed="false">
      <c r="A15" s="6" t="s">
        <v>10</v>
      </c>
      <c r="B15" s="30" t="s">
        <v>127</v>
      </c>
      <c r="C15" s="10" t="s">
        <v>455</v>
      </c>
      <c r="D15" s="9" t="s">
        <v>465</v>
      </c>
    </row>
    <row r="16" customFormat="false" ht="15" hidden="false" customHeight="false" outlineLevel="0" collapsed="false">
      <c r="A16" s="6" t="s">
        <v>10</v>
      </c>
      <c r="B16" s="30" t="s">
        <v>130</v>
      </c>
      <c r="C16" s="10" t="s">
        <v>455</v>
      </c>
      <c r="D16" s="9" t="s">
        <v>466</v>
      </c>
    </row>
    <row r="19" customFormat="false" ht="15" hidden="false" customHeight="false" outlineLevel="0" collapsed="false">
      <c r="A19" s="4" t="s">
        <v>467</v>
      </c>
    </row>
    <row r="20" customFormat="false" ht="17.15" hidden="false" customHeight="false" outlineLevel="0" collapsed="false">
      <c r="A20" s="5" t="s">
        <v>468</v>
      </c>
      <c r="B20" s="5" t="s">
        <v>469</v>
      </c>
      <c r="C20" s="5" t="s">
        <v>470</v>
      </c>
    </row>
    <row r="21" customFormat="false" ht="15" hidden="false" customHeight="false" outlineLevel="0" collapsed="false">
      <c r="A21" s="7" t="s">
        <v>16</v>
      </c>
      <c r="B21" s="10" t="s">
        <v>471</v>
      </c>
      <c r="C21" s="15" t="s">
        <v>472</v>
      </c>
    </row>
    <row r="22" customFormat="false" ht="15" hidden="false" customHeight="false" outlineLevel="0" collapsed="false">
      <c r="A22" s="7" t="s">
        <v>22</v>
      </c>
      <c r="B22" s="6" t="s">
        <v>473</v>
      </c>
      <c r="C22" s="15" t="s">
        <v>474</v>
      </c>
    </row>
    <row r="23" customFormat="false" ht="15" hidden="false" customHeight="false" outlineLevel="0" collapsed="false">
      <c r="A23" s="7" t="s">
        <v>28</v>
      </c>
      <c r="B23" s="6" t="s">
        <v>475</v>
      </c>
      <c r="C23" s="15" t="s">
        <v>476</v>
      </c>
    </row>
    <row r="24" customFormat="false" ht="15" hidden="false" customHeight="false" outlineLevel="0" collapsed="false">
      <c r="A24" s="7" t="s">
        <v>32</v>
      </c>
      <c r="B24" s="6" t="s">
        <v>477</v>
      </c>
      <c r="C24" s="9" t="s">
        <v>478</v>
      </c>
    </row>
    <row r="25" customFormat="false" ht="15" hidden="false" customHeight="false" outlineLevel="0" collapsed="false">
      <c r="A25" s="7" t="s">
        <v>36</v>
      </c>
      <c r="B25" s="6" t="s">
        <v>479</v>
      </c>
      <c r="C25" s="9" t="s">
        <v>480</v>
      </c>
    </row>
    <row r="26" customFormat="false" ht="15" hidden="false" customHeight="false" outlineLevel="0" collapsed="false">
      <c r="A26" s="7" t="s">
        <v>40</v>
      </c>
      <c r="B26" s="10" t="s">
        <v>471</v>
      </c>
      <c r="C26" s="9" t="s">
        <v>481</v>
      </c>
    </row>
    <row r="27" customFormat="false" ht="15" hidden="false" customHeight="false" outlineLevel="0" collapsed="false">
      <c r="A27" s="7" t="s">
        <v>46</v>
      </c>
      <c r="B27" s="10" t="s">
        <v>471</v>
      </c>
      <c r="C27" s="9" t="s">
        <v>482</v>
      </c>
    </row>
    <row r="28" customFormat="false" ht="15" hidden="false" customHeight="false" outlineLevel="0" collapsed="false">
      <c r="A28" s="7" t="s">
        <v>51</v>
      </c>
      <c r="B28" s="10" t="s">
        <v>471</v>
      </c>
      <c r="C28" s="9" t="s">
        <v>483</v>
      </c>
    </row>
    <row r="29" customFormat="false" ht="15" hidden="false" customHeight="false" outlineLevel="0" collapsed="false">
      <c r="A29" s="7" t="s">
        <v>80</v>
      </c>
      <c r="B29" s="6" t="s">
        <v>477</v>
      </c>
      <c r="C29" s="15" t="s">
        <v>484</v>
      </c>
    </row>
    <row r="30" customFormat="false" ht="15" hidden="false" customHeight="false" outlineLevel="0" collapsed="false">
      <c r="A30" s="7" t="s">
        <v>101</v>
      </c>
      <c r="B30" s="6" t="s">
        <v>485</v>
      </c>
      <c r="C30" s="9" t="s">
        <v>486</v>
      </c>
    </row>
    <row r="31" customFormat="false" ht="15" hidden="false" customHeight="false" outlineLevel="0" collapsed="false">
      <c r="A31" s="7" t="s">
        <v>94</v>
      </c>
      <c r="B31" s="10" t="s">
        <v>471</v>
      </c>
      <c r="C31" s="9" t="s">
        <v>487</v>
      </c>
    </row>
    <row r="32" customFormat="false" ht="15" hidden="false" customHeight="false" outlineLevel="0" collapsed="false">
      <c r="A32" s="7" t="s">
        <v>89</v>
      </c>
      <c r="B32" s="10" t="s">
        <v>471</v>
      </c>
      <c r="C32" s="9" t="s">
        <v>488</v>
      </c>
    </row>
    <row r="33" customFormat="false" ht="15" hidden="false" customHeight="false" outlineLevel="0" collapsed="false">
      <c r="A33" s="7" t="s">
        <v>489</v>
      </c>
      <c r="B33" s="6" t="s">
        <v>485</v>
      </c>
      <c r="C33" s="9" t="s">
        <v>490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5" min="4" style="1" width="18"/>
    <col collapsed="false" customWidth="true" hidden="false" outlineLevel="0" max="6" min="6" style="1" width="22"/>
  </cols>
  <sheetData>
    <row r="1" customFormat="false" ht="23.85" hidden="false" customHeight="true" outlineLevel="0" collapsed="false">
      <c r="A1" s="2" t="s">
        <v>491</v>
      </c>
      <c r="B1" s="2"/>
      <c r="C1" s="2"/>
      <c r="D1" s="2"/>
      <c r="E1" s="2"/>
      <c r="F1" s="2"/>
    </row>
    <row r="3" customFormat="false" ht="14.15" hidden="false" customHeight="false" outlineLevel="0" collapsed="false">
      <c r="A3" s="31" t="s">
        <v>492</v>
      </c>
      <c r="B3" s="31"/>
      <c r="C3" s="31"/>
      <c r="D3" s="31"/>
      <c r="E3" s="31"/>
      <c r="F3" s="31"/>
    </row>
    <row r="4" customFormat="false" ht="17.15" hidden="false" customHeight="false" outlineLevel="0" collapsed="false">
      <c r="A4" s="5" t="s">
        <v>468</v>
      </c>
      <c r="B4" s="5" t="s">
        <v>493</v>
      </c>
      <c r="C4" s="5" t="s">
        <v>494</v>
      </c>
      <c r="D4" s="32" t="s">
        <v>495</v>
      </c>
      <c r="E4" s="32" t="s">
        <v>496</v>
      </c>
      <c r="F4" s="5" t="s">
        <v>335</v>
      </c>
    </row>
    <row r="5" customFormat="false" ht="15" hidden="false" customHeight="false" outlineLevel="0" collapsed="false">
      <c r="A5" s="7" t="s">
        <v>16</v>
      </c>
      <c r="B5" s="6" t="s">
        <v>497</v>
      </c>
      <c r="C5" s="6" t="s">
        <v>498</v>
      </c>
      <c r="D5" s="6" t="n">
        <f aca="false">1700*250*3</f>
        <v>1275000</v>
      </c>
      <c r="E5" s="33" t="n">
        <f aca="false">B5*D5</f>
        <v>127500000</v>
      </c>
      <c r="F5" s="9" t="s">
        <v>499</v>
      </c>
    </row>
    <row r="6" customFormat="false" ht="15" hidden="false" customHeight="false" outlineLevel="0" collapsed="false">
      <c r="A6" s="7" t="s">
        <v>22</v>
      </c>
      <c r="B6" s="6" t="s">
        <v>500</v>
      </c>
      <c r="C6" s="6" t="s">
        <v>498</v>
      </c>
      <c r="D6" s="6" t="n">
        <f aca="false">1700*250*3</f>
        <v>1275000</v>
      </c>
      <c r="E6" s="33" t="n">
        <f aca="false">B6*D6</f>
        <v>102000000</v>
      </c>
      <c r="F6" s="15"/>
    </row>
    <row r="7" customFormat="false" ht="15" hidden="false" customHeight="false" outlineLevel="0" collapsed="false">
      <c r="A7" s="7" t="s">
        <v>28</v>
      </c>
      <c r="B7" s="6" t="s">
        <v>500</v>
      </c>
      <c r="C7" s="6" t="s">
        <v>498</v>
      </c>
      <c r="D7" s="6" t="n">
        <f aca="false">1700*250*3</f>
        <v>1275000</v>
      </c>
      <c r="E7" s="33" t="n">
        <f aca="false">B7*D7</f>
        <v>102000000</v>
      </c>
      <c r="F7" s="15"/>
    </row>
    <row r="8" customFormat="false" ht="15" hidden="false" customHeight="false" outlineLevel="0" collapsed="false">
      <c r="A8" s="7" t="s">
        <v>32</v>
      </c>
      <c r="B8" s="6" t="s">
        <v>500</v>
      </c>
      <c r="C8" s="6" t="s">
        <v>501</v>
      </c>
      <c r="D8" s="6" t="n">
        <f aca="false">1700*52*3</f>
        <v>265200</v>
      </c>
      <c r="E8" s="33" t="n">
        <f aca="false">B8*D8</f>
        <v>21216000</v>
      </c>
      <c r="F8" s="9" t="s">
        <v>502</v>
      </c>
    </row>
    <row r="9" customFormat="false" ht="15" hidden="false" customHeight="false" outlineLevel="0" collapsed="false">
      <c r="A9" s="7" t="s">
        <v>36</v>
      </c>
      <c r="B9" s="6" t="s">
        <v>500</v>
      </c>
      <c r="C9" s="6" t="s">
        <v>503</v>
      </c>
      <c r="D9" s="6" t="n">
        <f aca="false">50000*250*3</f>
        <v>37500000</v>
      </c>
      <c r="E9" s="33" t="n">
        <f aca="false">B9*D9</f>
        <v>3000000000</v>
      </c>
      <c r="F9" s="9" t="s">
        <v>504</v>
      </c>
    </row>
    <row r="10" customFormat="false" ht="15" hidden="false" customHeight="false" outlineLevel="0" collapsed="false">
      <c r="A10" s="7" t="s">
        <v>40</v>
      </c>
      <c r="B10" s="6" t="s">
        <v>497</v>
      </c>
      <c r="C10" s="6" t="s">
        <v>505</v>
      </c>
      <c r="D10" s="6" t="n">
        <f aca="false">1700*36</f>
        <v>61200</v>
      </c>
      <c r="E10" s="33" t="n">
        <f aca="false">B10*D10</f>
        <v>6120000</v>
      </c>
      <c r="F10" s="9" t="s">
        <v>506</v>
      </c>
    </row>
    <row r="11" customFormat="false" ht="15" hidden="false" customHeight="false" outlineLevel="0" collapsed="false">
      <c r="A11" s="7" t="s">
        <v>46</v>
      </c>
      <c r="B11" s="6" t="s">
        <v>507</v>
      </c>
      <c r="C11" s="6" t="s">
        <v>508</v>
      </c>
      <c r="D11" s="6" t="n">
        <f aca="false">1700*12</f>
        <v>20400</v>
      </c>
      <c r="E11" s="33" t="n">
        <f aca="false">B11*D11</f>
        <v>3060000</v>
      </c>
      <c r="F11" s="9" t="s">
        <v>509</v>
      </c>
    </row>
    <row r="12" customFormat="false" ht="15" hidden="false" customHeight="false" outlineLevel="0" collapsed="false">
      <c r="A12" s="7" t="s">
        <v>51</v>
      </c>
      <c r="B12" s="6" t="s">
        <v>500</v>
      </c>
      <c r="C12" s="6" t="s">
        <v>510</v>
      </c>
      <c r="D12" s="6" t="n">
        <f aca="false">5*250*3</f>
        <v>3750</v>
      </c>
      <c r="E12" s="33" t="n">
        <f aca="false">B12*D12</f>
        <v>300000</v>
      </c>
      <c r="F12" s="15"/>
    </row>
    <row r="13" customFormat="false" ht="15" hidden="false" customHeight="false" outlineLevel="0" collapsed="false">
      <c r="A13" s="7" t="s">
        <v>80</v>
      </c>
      <c r="B13" s="6" t="s">
        <v>507</v>
      </c>
      <c r="C13" s="6" t="s">
        <v>511</v>
      </c>
      <c r="D13" s="6" t="n">
        <f aca="false">50*250*3</f>
        <v>37500</v>
      </c>
      <c r="E13" s="33" t="n">
        <f aca="false">B13*D13</f>
        <v>5625000</v>
      </c>
      <c r="F13" s="15"/>
    </row>
    <row r="14" customFormat="false" ht="15" hidden="false" customHeight="false" outlineLevel="0" collapsed="false">
      <c r="A14" s="7" t="s">
        <v>89</v>
      </c>
      <c r="B14" s="6" t="s">
        <v>512</v>
      </c>
      <c r="C14" s="6" t="s">
        <v>513</v>
      </c>
      <c r="D14" s="6" t="n">
        <f aca="false">1*250*3</f>
        <v>750</v>
      </c>
      <c r="E14" s="33" t="n">
        <f aca="false">B14*D14</f>
        <v>150000</v>
      </c>
      <c r="F14" s="15"/>
    </row>
    <row r="15" customFormat="false" ht="15" hidden="false" customHeight="false" outlineLevel="0" collapsed="false">
      <c r="A15" s="34" t="s">
        <v>514</v>
      </c>
      <c r="B15" s="6" t="s">
        <v>497</v>
      </c>
      <c r="C15" s="6" t="s">
        <v>515</v>
      </c>
      <c r="D15" s="6" t="n">
        <f aca="false">10*250*3</f>
        <v>7500</v>
      </c>
      <c r="E15" s="33" t="n">
        <f aca="false">B15*D15</f>
        <v>750000</v>
      </c>
      <c r="F15" s="15"/>
    </row>
    <row r="16" customFormat="false" ht="15" hidden="false" customHeight="false" outlineLevel="0" collapsed="false">
      <c r="A16" s="35" t="s">
        <v>516</v>
      </c>
      <c r="B16" s="36"/>
      <c r="C16" s="36"/>
      <c r="D16" s="36"/>
      <c r="E16" s="37" t="n">
        <f aca="false">SUM(E5:E15)</f>
        <v>3368721000</v>
      </c>
      <c r="F16" s="38" t="s">
        <v>517</v>
      </c>
    </row>
    <row r="17" customFormat="false" ht="17.15" hidden="false" customHeight="false" outlineLevel="0" collapsed="false">
      <c r="A17" s="39" t="s">
        <v>518</v>
      </c>
      <c r="B17" s="36"/>
      <c r="C17" s="36"/>
      <c r="D17" s="36"/>
      <c r="E17" s="40" t="n">
        <f aca="false">E16/1024/1024</f>
        <v>3212.66269683838</v>
      </c>
      <c r="F17" s="41" t="s">
        <v>519</v>
      </c>
    </row>
    <row r="20" customFormat="false" ht="15" hidden="false" customHeight="false" outlineLevel="0" collapsed="false">
      <c r="A20" s="42" t="s">
        <v>520</v>
      </c>
      <c r="B20" s="42"/>
      <c r="C20" s="42"/>
      <c r="D20" s="42"/>
      <c r="E20" s="42"/>
      <c r="F20" s="42"/>
    </row>
    <row r="21" customFormat="false" ht="15" hidden="false" customHeight="false" outlineLevel="0" collapsed="false">
      <c r="A21" s="43" t="s">
        <v>521</v>
      </c>
      <c r="B21" s="43"/>
      <c r="C21" s="43"/>
      <c r="D21" s="43"/>
      <c r="E21" s="43"/>
      <c r="F21" s="43"/>
    </row>
    <row r="22" customFormat="false" ht="15" hidden="false" customHeight="false" outlineLevel="0" collapsed="false">
      <c r="A22" s="43" t="s">
        <v>522</v>
      </c>
      <c r="B22" s="43"/>
      <c r="C22" s="43"/>
      <c r="D22" s="43"/>
      <c r="E22" s="43"/>
      <c r="F22" s="43"/>
    </row>
    <row r="23" customFormat="false" ht="15" hidden="false" customHeight="false" outlineLevel="0" collapsed="false">
      <c r="A23" s="43" t="s">
        <v>523</v>
      </c>
      <c r="B23" s="43"/>
      <c r="C23" s="43"/>
      <c r="D23" s="43"/>
      <c r="E23" s="43"/>
      <c r="F23" s="43"/>
    </row>
    <row r="24" customFormat="false" ht="15" hidden="false" customHeight="false" outlineLevel="0" collapsed="false">
      <c r="A24" s="43" t="s">
        <v>524</v>
      </c>
      <c r="B24" s="43"/>
      <c r="C24" s="43"/>
      <c r="D24" s="43"/>
      <c r="E24" s="43"/>
      <c r="F24" s="43"/>
    </row>
    <row r="25" customFormat="false" ht="15" hidden="false" customHeight="false" outlineLevel="0" collapsed="false">
      <c r="A25" s="43" t="s">
        <v>525</v>
      </c>
      <c r="B25" s="43"/>
      <c r="C25" s="43"/>
      <c r="D25" s="43"/>
      <c r="E25" s="43"/>
      <c r="F25" s="43"/>
    </row>
  </sheetData>
  <mergeCells count="8">
    <mergeCell ref="A1:F1"/>
    <mergeCell ref="A3:F3"/>
    <mergeCell ref="A20:F20"/>
    <mergeCell ref="A21:F21"/>
    <mergeCell ref="A22:F22"/>
    <mergeCell ref="A23:F23"/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2026-07-08T02:34:46Z</dcterms:created>
  <dc:creator>openpyxl</dc:creator>
  <dc:description/>
  <dc:language>en-US</dc:language>
  <cp:lastModifiedBy/>
  <dcterms:modified xsi:type="dcterms:W3CDTF">2026-07-08T02:34:46Z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